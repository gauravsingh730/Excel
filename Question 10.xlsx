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pw skill\"/>
    </mc:Choice>
  </mc:AlternateContent>
  <xr:revisionPtr revIDLastSave="0" documentId="8_{AB01A476-E3EF-488D-822F-BA9716F61205}" xr6:coauthVersionLast="47" xr6:coauthVersionMax="47" xr10:uidLastSave="{00000000-0000-0000-0000-000000000000}"/>
  <bookViews>
    <workbookView xWindow="-110" yWindow="-110" windowWidth="19420" windowHeight="11020" xr2:uid="{0C992E3A-C208-417F-A6AE-A4EB0B80E249}"/>
  </bookViews>
  <sheets>
    <sheet name="Sales_department" sheetId="1" r:id="rId1"/>
  </sheets>
  <calcPr calcId="191028"/>
  <pivotCaches>
    <pivotCache cacheId="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" l="1"/>
  <c r="N6" i="1"/>
  <c r="N7" i="1"/>
  <c r="N8" i="1"/>
  <c r="N14" i="1"/>
  <c r="N15" i="1"/>
  <c r="N16" i="1"/>
  <c r="N22" i="1"/>
  <c r="N23" i="1"/>
  <c r="N24" i="1"/>
  <c r="N30" i="1"/>
  <c r="N31" i="1"/>
  <c r="N32" i="1"/>
  <c r="N38" i="1"/>
  <c r="N39" i="1"/>
  <c r="N40" i="1"/>
  <c r="N46" i="1"/>
  <c r="N47" i="1"/>
  <c r="N48" i="1"/>
  <c r="N54" i="1"/>
  <c r="N55" i="1"/>
  <c r="N56" i="1"/>
  <c r="N62" i="1"/>
  <c r="N63" i="1"/>
  <c r="N64" i="1"/>
  <c r="N70" i="1"/>
  <c r="N71" i="1"/>
  <c r="N72" i="1"/>
  <c r="N78" i="1"/>
  <c r="N79" i="1"/>
  <c r="N80" i="1"/>
  <c r="N86" i="1"/>
  <c r="N87" i="1"/>
  <c r="N88" i="1"/>
  <c r="N94" i="1"/>
  <c r="N95" i="1"/>
  <c r="N96" i="1"/>
  <c r="M3" i="1"/>
  <c r="M5" i="1"/>
  <c r="M7" i="1"/>
  <c r="M11" i="1"/>
  <c r="M13" i="1"/>
  <c r="M15" i="1"/>
  <c r="M19" i="1"/>
  <c r="M21" i="1"/>
  <c r="M23" i="1"/>
  <c r="M27" i="1"/>
  <c r="M29" i="1"/>
  <c r="M31" i="1"/>
  <c r="M35" i="1"/>
  <c r="M37" i="1"/>
  <c r="M39" i="1"/>
  <c r="M43" i="1"/>
  <c r="M45" i="1"/>
  <c r="M47" i="1"/>
  <c r="M51" i="1"/>
  <c r="M53" i="1"/>
  <c r="M55" i="1"/>
  <c r="M59" i="1"/>
  <c r="M61" i="1"/>
  <c r="M63" i="1"/>
  <c r="M67" i="1"/>
  <c r="M69" i="1"/>
  <c r="M71" i="1"/>
  <c r="M75" i="1"/>
  <c r="M77" i="1"/>
  <c r="M79" i="1"/>
  <c r="M83" i="1"/>
  <c r="M85" i="1"/>
  <c r="M87" i="1"/>
  <c r="M91" i="1"/>
  <c r="M93" i="1"/>
  <c r="M95" i="1"/>
  <c r="M99" i="1"/>
  <c r="M101" i="1"/>
  <c r="L3" i="1"/>
  <c r="N3" i="1" s="1"/>
  <c r="L4" i="1"/>
  <c r="N4" i="1" s="1"/>
  <c r="L5" i="1"/>
  <c r="N5" i="1" s="1"/>
  <c r="L6" i="1"/>
  <c r="M6" i="1" s="1"/>
  <c r="L7" i="1"/>
  <c r="L8" i="1"/>
  <c r="M8" i="1" s="1"/>
  <c r="L9" i="1"/>
  <c r="N9" i="1" s="1"/>
  <c r="L10" i="1"/>
  <c r="N10" i="1" s="1"/>
  <c r="L11" i="1"/>
  <c r="N11" i="1" s="1"/>
  <c r="L12" i="1"/>
  <c r="N12" i="1" s="1"/>
  <c r="L13" i="1"/>
  <c r="N13" i="1" s="1"/>
  <c r="L14" i="1"/>
  <c r="M14" i="1" s="1"/>
  <c r="L15" i="1"/>
  <c r="L16" i="1"/>
  <c r="M16" i="1" s="1"/>
  <c r="L17" i="1"/>
  <c r="N17" i="1" s="1"/>
  <c r="L18" i="1"/>
  <c r="N18" i="1" s="1"/>
  <c r="L19" i="1"/>
  <c r="N19" i="1" s="1"/>
  <c r="L20" i="1"/>
  <c r="N20" i="1" s="1"/>
  <c r="L21" i="1"/>
  <c r="N21" i="1" s="1"/>
  <c r="L22" i="1"/>
  <c r="M22" i="1" s="1"/>
  <c r="L23" i="1"/>
  <c r="L24" i="1"/>
  <c r="M24" i="1" s="1"/>
  <c r="L25" i="1"/>
  <c r="N25" i="1" s="1"/>
  <c r="L26" i="1"/>
  <c r="N26" i="1" s="1"/>
  <c r="L27" i="1"/>
  <c r="N27" i="1" s="1"/>
  <c r="L28" i="1"/>
  <c r="N28" i="1" s="1"/>
  <c r="L29" i="1"/>
  <c r="N29" i="1" s="1"/>
  <c r="L30" i="1"/>
  <c r="M30" i="1" s="1"/>
  <c r="L31" i="1"/>
  <c r="L32" i="1"/>
  <c r="M32" i="1" s="1"/>
  <c r="L33" i="1"/>
  <c r="N33" i="1" s="1"/>
  <c r="L34" i="1"/>
  <c r="N34" i="1" s="1"/>
  <c r="L35" i="1"/>
  <c r="N35" i="1" s="1"/>
  <c r="L36" i="1"/>
  <c r="N36" i="1" s="1"/>
  <c r="L37" i="1"/>
  <c r="N37" i="1" s="1"/>
  <c r="L38" i="1"/>
  <c r="M38" i="1" s="1"/>
  <c r="L39" i="1"/>
  <c r="L40" i="1"/>
  <c r="M40" i="1" s="1"/>
  <c r="L41" i="1"/>
  <c r="N41" i="1" s="1"/>
  <c r="L42" i="1"/>
  <c r="N42" i="1" s="1"/>
  <c r="L43" i="1"/>
  <c r="N43" i="1" s="1"/>
  <c r="L44" i="1"/>
  <c r="N44" i="1" s="1"/>
  <c r="L45" i="1"/>
  <c r="N45" i="1" s="1"/>
  <c r="L46" i="1"/>
  <c r="M46" i="1" s="1"/>
  <c r="L47" i="1"/>
  <c r="L48" i="1"/>
  <c r="M48" i="1" s="1"/>
  <c r="L49" i="1"/>
  <c r="N49" i="1" s="1"/>
  <c r="L50" i="1"/>
  <c r="N50" i="1" s="1"/>
  <c r="L51" i="1"/>
  <c r="N51" i="1" s="1"/>
  <c r="L52" i="1"/>
  <c r="N52" i="1" s="1"/>
  <c r="L53" i="1"/>
  <c r="N53" i="1" s="1"/>
  <c r="L54" i="1"/>
  <c r="M54" i="1" s="1"/>
  <c r="L55" i="1"/>
  <c r="L56" i="1"/>
  <c r="M56" i="1" s="1"/>
  <c r="L57" i="1"/>
  <c r="N57" i="1" s="1"/>
  <c r="L58" i="1"/>
  <c r="N58" i="1" s="1"/>
  <c r="L59" i="1"/>
  <c r="N59" i="1" s="1"/>
  <c r="L60" i="1"/>
  <c r="N60" i="1" s="1"/>
  <c r="L61" i="1"/>
  <c r="N61" i="1" s="1"/>
  <c r="L62" i="1"/>
  <c r="M62" i="1" s="1"/>
  <c r="L63" i="1"/>
  <c r="L64" i="1"/>
  <c r="M64" i="1" s="1"/>
  <c r="L65" i="1"/>
  <c r="N65" i="1" s="1"/>
  <c r="L66" i="1"/>
  <c r="N66" i="1" s="1"/>
  <c r="L67" i="1"/>
  <c r="N67" i="1" s="1"/>
  <c r="L68" i="1"/>
  <c r="N68" i="1" s="1"/>
  <c r="L69" i="1"/>
  <c r="N69" i="1" s="1"/>
  <c r="L70" i="1"/>
  <c r="M70" i="1" s="1"/>
  <c r="L71" i="1"/>
  <c r="L72" i="1"/>
  <c r="M72" i="1" s="1"/>
  <c r="L73" i="1"/>
  <c r="N73" i="1" s="1"/>
  <c r="L74" i="1"/>
  <c r="N74" i="1" s="1"/>
  <c r="L75" i="1"/>
  <c r="N75" i="1" s="1"/>
  <c r="L76" i="1"/>
  <c r="N76" i="1" s="1"/>
  <c r="L77" i="1"/>
  <c r="N77" i="1" s="1"/>
  <c r="L78" i="1"/>
  <c r="M78" i="1" s="1"/>
  <c r="L79" i="1"/>
  <c r="L80" i="1"/>
  <c r="M80" i="1" s="1"/>
  <c r="L81" i="1"/>
  <c r="N81" i="1" s="1"/>
  <c r="L82" i="1"/>
  <c r="N82" i="1" s="1"/>
  <c r="L83" i="1"/>
  <c r="N83" i="1" s="1"/>
  <c r="L84" i="1"/>
  <c r="N84" i="1" s="1"/>
  <c r="L85" i="1"/>
  <c r="N85" i="1" s="1"/>
  <c r="L86" i="1"/>
  <c r="M86" i="1" s="1"/>
  <c r="L87" i="1"/>
  <c r="L88" i="1"/>
  <c r="M88" i="1" s="1"/>
  <c r="L89" i="1"/>
  <c r="N89" i="1" s="1"/>
  <c r="L90" i="1"/>
  <c r="N90" i="1" s="1"/>
  <c r="L91" i="1"/>
  <c r="N91" i="1" s="1"/>
  <c r="L92" i="1"/>
  <c r="N92" i="1" s="1"/>
  <c r="L93" i="1"/>
  <c r="N93" i="1" s="1"/>
  <c r="L94" i="1"/>
  <c r="M94" i="1" s="1"/>
  <c r="L95" i="1"/>
  <c r="L96" i="1"/>
  <c r="M96" i="1" s="1"/>
  <c r="L97" i="1"/>
  <c r="N97" i="1" s="1"/>
  <c r="L98" i="1"/>
  <c r="N98" i="1" s="1"/>
  <c r="L99" i="1"/>
  <c r="N99" i="1" s="1"/>
  <c r="L100" i="1"/>
  <c r="N100" i="1" s="1"/>
  <c r="L101" i="1"/>
  <c r="N101" i="1" s="1"/>
  <c r="L2" i="1"/>
  <c r="N2" i="1" s="1"/>
  <c r="M100" i="1" l="1"/>
  <c r="M84" i="1"/>
  <c r="M68" i="1"/>
  <c r="M52" i="1"/>
  <c r="M36" i="1"/>
  <c r="M20" i="1"/>
  <c r="M12" i="1"/>
  <c r="M98" i="1"/>
  <c r="M90" i="1"/>
  <c r="M82" i="1"/>
  <c r="M74" i="1"/>
  <c r="M66" i="1"/>
  <c r="M58" i="1"/>
  <c r="M50" i="1"/>
  <c r="M42" i="1"/>
  <c r="M34" i="1"/>
  <c r="M26" i="1"/>
  <c r="M18" i="1"/>
  <c r="M10" i="1"/>
  <c r="M92" i="1"/>
  <c r="M76" i="1"/>
  <c r="M60" i="1"/>
  <c r="M44" i="1"/>
  <c r="M28" i="1"/>
  <c r="M4" i="1"/>
  <c r="M97" i="1"/>
  <c r="M89" i="1"/>
  <c r="M81" i="1"/>
  <c r="M73" i="1"/>
  <c r="M65" i="1"/>
  <c r="M57" i="1"/>
  <c r="M49" i="1"/>
  <c r="M41" i="1"/>
  <c r="M33" i="1"/>
  <c r="M25" i="1"/>
  <c r="M17" i="1"/>
  <c r="M9" i="1"/>
</calcChain>
</file>

<file path=xl/sharedStrings.xml><?xml version="1.0" encoding="utf-8"?>
<sst xmlns="http://schemas.openxmlformats.org/spreadsheetml/2006/main" count="728" uniqueCount="153">
  <si>
    <t>Customer ID</t>
  </si>
  <si>
    <t>Region</t>
  </si>
  <si>
    <t>Country</t>
  </si>
  <si>
    <t>State</t>
  </si>
  <si>
    <t>Phone Number</t>
  </si>
  <si>
    <t>Category</t>
  </si>
  <si>
    <t>Product</t>
  </si>
  <si>
    <t>Price</t>
  </si>
  <si>
    <t>Units Sold</t>
  </si>
  <si>
    <t>Profit</t>
  </si>
  <si>
    <t>Mode of Payment</t>
  </si>
  <si>
    <t>Revenue</t>
  </si>
  <si>
    <t>Revenue Label</t>
  </si>
  <si>
    <t>Profit %</t>
  </si>
  <si>
    <t>CUST1000</t>
  </si>
  <si>
    <t>West</t>
  </si>
  <si>
    <t>India</t>
  </si>
  <si>
    <t>Karnataka</t>
  </si>
  <si>
    <t>Clothing</t>
  </si>
  <si>
    <t>Shirt</t>
  </si>
  <si>
    <t>Credit Card</t>
  </si>
  <si>
    <t>CUST1001</t>
  </si>
  <si>
    <t>Furniture</t>
  </si>
  <si>
    <t>Table</t>
  </si>
  <si>
    <t>Net Banking</t>
  </si>
  <si>
    <t>CUST1002</t>
  </si>
  <si>
    <t>South</t>
  </si>
  <si>
    <t>West Bengal</t>
  </si>
  <si>
    <t>T-shirt</t>
  </si>
  <si>
    <t>CUST1003</t>
  </si>
  <si>
    <t>Sofa</t>
  </si>
  <si>
    <t>Cash</t>
  </si>
  <si>
    <t>CUST1004</t>
  </si>
  <si>
    <t>Jeans</t>
  </si>
  <si>
    <t>CUST1005</t>
  </si>
  <si>
    <t>Dress</t>
  </si>
  <si>
    <t>CUST1006</t>
  </si>
  <si>
    <t>East</t>
  </si>
  <si>
    <t>Tamil Nadu</t>
  </si>
  <si>
    <t>UPI</t>
  </si>
  <si>
    <t>CUST1007</t>
  </si>
  <si>
    <t>Chair</t>
  </si>
  <si>
    <t>CUST1008</t>
  </si>
  <si>
    <t>Maharashtra</t>
  </si>
  <si>
    <t>CUST1009</t>
  </si>
  <si>
    <t>Gujarat</t>
  </si>
  <si>
    <t>CUST1010</t>
  </si>
  <si>
    <t>Rajasthan</t>
  </si>
  <si>
    <t>CUST1011</t>
  </si>
  <si>
    <t>CUST1012</t>
  </si>
  <si>
    <t>North</t>
  </si>
  <si>
    <t>Electronics</t>
  </si>
  <si>
    <t>Tablet</t>
  </si>
  <si>
    <t>CUST1013</t>
  </si>
  <si>
    <t>Bookshelf</t>
  </si>
  <si>
    <t>CUST1014</t>
  </si>
  <si>
    <t>CUST1015</t>
  </si>
  <si>
    <t>Monitor</t>
  </si>
  <si>
    <t>CUST1016</t>
  </si>
  <si>
    <t>Jacket</t>
  </si>
  <si>
    <t>Debit Card</t>
  </si>
  <si>
    <t>CUST1017</t>
  </si>
  <si>
    <t>Uttar Pradesh</t>
  </si>
  <si>
    <t>Headphones</t>
  </si>
  <si>
    <t>CUST1018</t>
  </si>
  <si>
    <t>CUST1019</t>
  </si>
  <si>
    <t>CUST1020</t>
  </si>
  <si>
    <t>CUST1021</t>
  </si>
  <si>
    <t>Laptop</t>
  </si>
  <si>
    <t>CUST1022</t>
  </si>
  <si>
    <t>CUST1023</t>
  </si>
  <si>
    <t>CUST1024</t>
  </si>
  <si>
    <t>CUST1025</t>
  </si>
  <si>
    <t>CUST1026</t>
  </si>
  <si>
    <t>Smartphone</t>
  </si>
  <si>
    <t>CUST1027</t>
  </si>
  <si>
    <t>CUST1028</t>
  </si>
  <si>
    <t>CUST1029</t>
  </si>
  <si>
    <t>Cupboard</t>
  </si>
  <si>
    <t>CUST1030</t>
  </si>
  <si>
    <t>CUST1031</t>
  </si>
  <si>
    <t>CUST1032</t>
  </si>
  <si>
    <t>CUST1033</t>
  </si>
  <si>
    <t>CUST1034</t>
  </si>
  <si>
    <t>CUST1035</t>
  </si>
  <si>
    <t>CUST1036</t>
  </si>
  <si>
    <t>CUST1037</t>
  </si>
  <si>
    <t>CUST1038</t>
  </si>
  <si>
    <t>CUST1039</t>
  </si>
  <si>
    <t>CUST1040</t>
  </si>
  <si>
    <t>CUST1041</t>
  </si>
  <si>
    <t>CUST1042</t>
  </si>
  <si>
    <t>CUST1043</t>
  </si>
  <si>
    <t>CUST1044</t>
  </si>
  <si>
    <t>CUST1045</t>
  </si>
  <si>
    <t>CUST1046</t>
  </si>
  <si>
    <t>CUST1047</t>
  </si>
  <si>
    <t>CUST1048</t>
  </si>
  <si>
    <t>CUST1049</t>
  </si>
  <si>
    <t>CUST1050</t>
  </si>
  <si>
    <t>CUST1051</t>
  </si>
  <si>
    <t>CUST1052</t>
  </si>
  <si>
    <t>CUST1053</t>
  </si>
  <si>
    <t>CUST1054</t>
  </si>
  <si>
    <t>CUST1055</t>
  </si>
  <si>
    <t>CUST1056</t>
  </si>
  <si>
    <t>CUST1057</t>
  </si>
  <si>
    <t>CUST1058</t>
  </si>
  <si>
    <t>CUST1059</t>
  </si>
  <si>
    <t>CUST1060</t>
  </si>
  <si>
    <t>CUST1061</t>
  </si>
  <si>
    <t>CUST1062</t>
  </si>
  <si>
    <t>CUST1063</t>
  </si>
  <si>
    <t>CUST1064</t>
  </si>
  <si>
    <t>CUST1065</t>
  </si>
  <si>
    <t>CUST1066</t>
  </si>
  <si>
    <t>CUST1067</t>
  </si>
  <si>
    <t>CUST1068</t>
  </si>
  <si>
    <t>CUST1069</t>
  </si>
  <si>
    <t>CUST1070</t>
  </si>
  <si>
    <t>CUST1071</t>
  </si>
  <si>
    <t>CUST1072</t>
  </si>
  <si>
    <t>CUST1073</t>
  </si>
  <si>
    <t>CUST1074</t>
  </si>
  <si>
    <t>CUST1075</t>
  </si>
  <si>
    <t>CUST1076</t>
  </si>
  <si>
    <t>CUST1077</t>
  </si>
  <si>
    <t>CUST1078</t>
  </si>
  <si>
    <t>CUST1079</t>
  </si>
  <si>
    <t>CUST1080</t>
  </si>
  <si>
    <t>CUST1081</t>
  </si>
  <si>
    <t>CUST1082</t>
  </si>
  <si>
    <t>CUST1083</t>
  </si>
  <si>
    <t>CUST1084</t>
  </si>
  <si>
    <t>CUST1085</t>
  </si>
  <si>
    <t>CUST1086</t>
  </si>
  <si>
    <t>CUST1087</t>
  </si>
  <si>
    <t>CUST1088</t>
  </si>
  <si>
    <t>CUST1089</t>
  </si>
  <si>
    <t>CUST1090</t>
  </si>
  <si>
    <t>CUST1091</t>
  </si>
  <si>
    <t>CUST1092</t>
  </si>
  <si>
    <t>CUST1093</t>
  </si>
  <si>
    <t>CUST1094</t>
  </si>
  <si>
    <t>CUST1095</t>
  </si>
  <si>
    <t>CUST1096</t>
  </si>
  <si>
    <t>CUST1097</t>
  </si>
  <si>
    <t>CUST1098</t>
  </si>
  <si>
    <t>CUST1099</t>
  </si>
  <si>
    <t>Total Revenue</t>
  </si>
  <si>
    <t>Total Profit</t>
  </si>
  <si>
    <t>Grand Total</t>
  </si>
  <si>
    <t>Average of Units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</si>
</sst>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6" fillId="0" borderId="0" xfId="0" applyFont="1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/>
    </xf>
    <xf numFmtId="2" fontId="0" fillId="0" borderId="12" xfId="0" applyNumberForma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7" xfId="0" applyBorder="1" applyAlignment="1">
      <alignment horizontal="center" wrapText="1"/>
    </xf>
    <xf numFmtId="2" fontId="0" fillId="0" borderId="18" xfId="0" applyNumberFormat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10" xfId="0" pivotButton="1" applyBorder="1" applyAlignment="1">
      <alignment horizontal="center"/>
    </xf>
    <xf numFmtId="0" fontId="18" fillId="0" borderId="10" xfId="0" applyFont="1" applyBorder="1" applyAlignment="1">
      <alignment horizontal="center"/>
    </xf>
    <xf numFmtId="1" fontId="0" fillId="0" borderId="10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5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61.738639699077" createdVersion="8" refreshedVersion="8" minRefreshableVersion="3" recordCount="100" xr:uid="{9898D6D5-17FF-42A0-951C-C471A96ECA90}">
  <cacheSource type="worksheet">
    <worksheetSource ref="A1:N101" sheet="Sales_department"/>
  </cacheSource>
  <cacheFields count="14">
    <cacheField name="Customer ID" numFmtId="0">
      <sharedItems/>
    </cacheField>
    <cacheField name="Region" numFmtId="0">
      <sharedItems count="4">
        <s v="West"/>
        <s v="South"/>
        <s v="East"/>
        <s v="North"/>
      </sharedItems>
    </cacheField>
    <cacheField name="Country" numFmtId="0">
      <sharedItems/>
    </cacheField>
    <cacheField name="State" numFmtId="0">
      <sharedItems/>
    </cacheField>
    <cacheField name="Phone Number" numFmtId="0">
      <sharedItems containsSemiMixedTypes="0" containsString="0" containsNumber="1" containsInteger="1" minValue="85" maxValue="99831923457"/>
    </cacheField>
    <cacheField name="Category" numFmtId="0">
      <sharedItems count="3">
        <s v="Clothing"/>
        <s v="Furniture"/>
        <s v="Electronics"/>
      </sharedItems>
    </cacheField>
    <cacheField name="Product" numFmtId="0">
      <sharedItems/>
    </cacheField>
    <cacheField name="Price" numFmtId="0">
      <sharedItems containsSemiMixedTypes="0" containsString="0" containsNumber="1" minValue="238.37" maxValue="2896.96"/>
    </cacheField>
    <cacheField name="Units Sold" numFmtId="0">
      <sharedItems containsSemiMixedTypes="0" containsString="0" containsNumber="1" containsInteger="1" minValue="1" maxValue="15"/>
    </cacheField>
    <cacheField name="Profit" numFmtId="0">
      <sharedItems containsSemiMixedTypes="0" containsString="0" containsNumber="1" minValue="163.57" maxValue="11123.31"/>
    </cacheField>
    <cacheField name="Mode of Payment" numFmtId="0">
      <sharedItems/>
    </cacheField>
    <cacheField name="Revenue" numFmtId="0">
      <sharedItems containsSemiMixedTypes="0" containsString="0" containsNumber="1" minValue="1248.54" maxValue="42729.15" count="100">
        <n v="12199.05"/>
        <n v="21078.59"/>
        <n v="1363.73"/>
        <n v="5864.6500000000005"/>
        <n v="31948.28"/>
        <n v="18630.080000000002"/>
        <n v="8404.92"/>
        <n v="1248.54"/>
        <n v="7742.82"/>
        <n v="37799.1"/>
        <n v="2814.97"/>
        <n v="10942.36"/>
        <n v="2338.56"/>
        <n v="6960.09"/>
        <n v="19587.260000000002"/>
        <n v="40080"/>
        <n v="7420.41"/>
        <n v="20278.72"/>
        <n v="11117.88"/>
        <n v="6504.99"/>
        <n v="13272.7"/>
        <n v="9196.39"/>
        <n v="20829.12"/>
        <n v="2369.3200000000002"/>
        <n v="4713.12"/>
        <n v="9418.4"/>
        <n v="11523.3"/>
        <n v="7604.8700000000008"/>
        <n v="15353.91"/>
        <n v="20169.599999999999"/>
        <n v="26125.65"/>
        <n v="15220.62"/>
        <n v="2430.4899999999998"/>
        <n v="19375"/>
        <n v="42729.15"/>
        <n v="8055.15"/>
        <n v="2052.79"/>
        <n v="5124.2999999999993"/>
        <n v="22631.7"/>
        <n v="12422.34"/>
        <n v="7729.68"/>
        <n v="22977.11"/>
        <n v="27572.6"/>
        <n v="1455.74"/>
        <n v="10037.56"/>
        <n v="1271.3500000000001"/>
        <n v="12146.53"/>
        <n v="2584.59"/>
        <n v="3763.04"/>
        <n v="16560.5"/>
        <n v="16252.39"/>
        <n v="1409.28"/>
        <n v="26392.600000000002"/>
        <n v="7289.12"/>
        <n v="6601.98"/>
        <n v="16312.52"/>
        <n v="14100.710000000001"/>
        <n v="22722.6"/>
        <n v="10483.32"/>
        <n v="2298.48"/>
        <n v="3400.1"/>
        <n v="8262.17"/>
        <n v="2613.4"/>
        <n v="7526.96"/>
        <n v="18095.25"/>
        <n v="9249.75"/>
        <n v="9480.5"/>
        <n v="10797.599999999999"/>
        <n v="2660.52"/>
        <n v="4193.41"/>
        <n v="1510.41"/>
        <n v="4342.08"/>
        <n v="20185.059999999998"/>
        <n v="5493.12"/>
        <n v="16983.84"/>
        <n v="15714.48"/>
        <n v="5543.2300000000005"/>
        <n v="5612.5199999999995"/>
        <n v="32302.760000000002"/>
        <n v="21189.98"/>
        <n v="6640.3499999999995"/>
        <n v="1921.05"/>
        <n v="3488.8700000000003"/>
        <n v="15992.4"/>
        <n v="8658.630000000001"/>
        <n v="11712.54"/>
        <n v="3164.96"/>
        <n v="3632.58"/>
        <n v="4336.9900000000007"/>
        <n v="4627.5"/>
        <n v="9266.8499999999985"/>
        <n v="15008.880000000001"/>
        <n v="12980.650000000001"/>
        <n v="13257.119999999999"/>
        <n v="3210.9"/>
        <n v="9997.92"/>
        <n v="3098.81"/>
        <n v="2460.1499999999996"/>
        <n v="21730.639999999999"/>
        <n v="1918.81"/>
      </sharedItems>
    </cacheField>
    <cacheField name="Revenue Label" numFmtId="0">
      <sharedItems/>
    </cacheField>
    <cacheField name="Profit %" numFmtId="2">
      <sharedItems containsSemiMixedTypes="0" containsString="0" containsNumber="1" minValue="10.260379537094977" maxValue="29.9791765825797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CUST1000"/>
    <x v="0"/>
    <s v="India"/>
    <s v="Karnataka"/>
    <n v="9515759149"/>
    <x v="0"/>
    <s v="Shirt"/>
    <n v="2439.81"/>
    <n v="5"/>
    <n v="3559.55"/>
    <s v="Credit Card"/>
    <x v="0"/>
    <s v="High"/>
    <n v="29.178911472614672"/>
  </r>
  <r>
    <s v="CUST1001"/>
    <x v="0"/>
    <s v="India"/>
    <s v="Karnataka"/>
    <n v="9720381947"/>
    <x v="1"/>
    <s v="Table"/>
    <n v="1621.43"/>
    <n v="13"/>
    <n v="4029.57"/>
    <s v="Net Banking"/>
    <x v="1"/>
    <s v="High"/>
    <n v="19.116885901760984"/>
  </r>
  <r>
    <s v="CUST1002"/>
    <x v="1"/>
    <s v="India"/>
    <s v="West Bengal"/>
    <n v="9483465530"/>
    <x v="0"/>
    <s v="T-shirt"/>
    <n v="1363.73"/>
    <n v="1"/>
    <n v="362.2"/>
    <s v="Net Banking"/>
    <x v="2"/>
    <s v="Low"/>
    <n v="26.559509580342151"/>
  </r>
  <r>
    <s v="CUST1003"/>
    <x v="1"/>
    <s v="India"/>
    <s v="West Bengal"/>
    <n v="9350165589"/>
    <x v="1"/>
    <s v="Sofa"/>
    <n v="1172.93"/>
    <n v="5"/>
    <n v="1542.65"/>
    <s v="Cash"/>
    <x v="3"/>
    <s v="Medium"/>
    <n v="26.304212527601816"/>
  </r>
  <r>
    <s v="CUST1004"/>
    <x v="1"/>
    <s v="India"/>
    <s v="Karnataka"/>
    <n v="9621991901"/>
    <x v="0"/>
    <s v="Jeans"/>
    <n v="2457.56"/>
    <n v="13"/>
    <n v="6972.71"/>
    <s v="Credit Card"/>
    <x v="4"/>
    <s v="High"/>
    <n v="21.8249933955756"/>
  </r>
  <r>
    <s v="CUST1005"/>
    <x v="1"/>
    <s v="India"/>
    <s v="West Bengal"/>
    <n v="9734105442"/>
    <x v="0"/>
    <s v="Dress"/>
    <n v="2661.44"/>
    <n v="7"/>
    <n v="2581.67"/>
    <s v="Net Banking"/>
    <x v="5"/>
    <s v="High"/>
    <n v="13.857535770109413"/>
  </r>
  <r>
    <s v="CUST1006"/>
    <x v="2"/>
    <s v="India"/>
    <s v="Tamil Nadu"/>
    <n v="9117390999"/>
    <x v="0"/>
    <s v="T-shirt"/>
    <n v="1400.82"/>
    <n v="6"/>
    <n v="994.44"/>
    <s v="UPI"/>
    <x v="6"/>
    <s v="Medium"/>
    <n v="11.831641467140676"/>
  </r>
  <r>
    <s v="CUST1007"/>
    <x v="0"/>
    <s v="India"/>
    <s v="Karnataka"/>
    <n v="9513032833"/>
    <x v="1"/>
    <s v="Chair"/>
    <n v="416.18"/>
    <n v="3"/>
    <n v="327.88"/>
    <s v="Net Banking"/>
    <x v="7"/>
    <s v="Low"/>
    <n v="26.261072933185964"/>
  </r>
  <r>
    <s v="CUST1008"/>
    <x v="1"/>
    <s v="India"/>
    <s v="Maharashtra"/>
    <n v="95543976868"/>
    <x v="1"/>
    <s v="Chair"/>
    <n v="1290.47"/>
    <n v="6"/>
    <n v="1045.43"/>
    <s v="Net Banking"/>
    <x v="8"/>
    <s v="Medium"/>
    <n v="13.501928238032141"/>
  </r>
  <r>
    <s v="CUST1009"/>
    <x v="0"/>
    <s v="India"/>
    <s v="Gujarat"/>
    <n v="9866250123"/>
    <x v="0"/>
    <s v="T-shirt"/>
    <n v="2519.94"/>
    <n v="15"/>
    <n v="11123.31"/>
    <s v="Cash"/>
    <x v="9"/>
    <s v="High"/>
    <n v="29.427446685238539"/>
  </r>
  <r>
    <s v="CUST1010"/>
    <x v="1"/>
    <s v="India"/>
    <s v="Rajasthan"/>
    <n v="9884314044"/>
    <x v="0"/>
    <s v="T-shirt"/>
    <n v="2814.97"/>
    <n v="1"/>
    <n v="716.15"/>
    <s v="Net Banking"/>
    <x v="10"/>
    <s v="Low"/>
    <n v="25.440768462896585"/>
  </r>
  <r>
    <s v="CUST1011"/>
    <x v="2"/>
    <s v="India"/>
    <s v="West Bengal"/>
    <n v="9192128284"/>
    <x v="0"/>
    <s v="Jeans"/>
    <n v="841.72"/>
    <n v="13"/>
    <n v="2130.1799999999998"/>
    <s v="UPI"/>
    <x v="11"/>
    <s v="High"/>
    <n v="19.467281281186143"/>
  </r>
  <r>
    <s v="CUST1012"/>
    <x v="3"/>
    <s v="India"/>
    <s v="West Bengal"/>
    <n v="9731590483"/>
    <x v="2"/>
    <s v="Tablet"/>
    <n v="1169.28"/>
    <n v="2"/>
    <n v="273.95"/>
    <s v="Credit Card"/>
    <x v="12"/>
    <s v="Low"/>
    <n v="11.714473864258347"/>
  </r>
  <r>
    <s v="CUST1013"/>
    <x v="0"/>
    <s v="India"/>
    <s v="Karnataka"/>
    <n v="9245312903"/>
    <x v="1"/>
    <s v="Bookshelf"/>
    <n v="2320.0300000000002"/>
    <n v="3"/>
    <n v="1260.55"/>
    <s v="Credit Card"/>
    <x v="13"/>
    <s v="Medium"/>
    <n v="18.111116379242219"/>
  </r>
  <r>
    <s v="CUST1014"/>
    <x v="3"/>
    <s v="India"/>
    <s v="West Bengal"/>
    <n v="9587137236"/>
    <x v="0"/>
    <s v="T-shirt"/>
    <n v="1780.66"/>
    <n v="11"/>
    <n v="2826.93"/>
    <s v="UPI"/>
    <x v="14"/>
    <s v="High"/>
    <n v="14.432493365585589"/>
  </r>
  <r>
    <s v="CUST1015"/>
    <x v="3"/>
    <s v="India"/>
    <s v="Tamil Nadu"/>
    <n v="9161819590"/>
    <x v="2"/>
    <s v="Monitor"/>
    <n v="2672"/>
    <n v="15"/>
    <n v="4719.91"/>
    <s v="Cash"/>
    <x v="15"/>
    <s v="High"/>
    <n v="11.776222554890218"/>
  </r>
  <r>
    <s v="CUST1016"/>
    <x v="1"/>
    <s v="India"/>
    <s v="West Bengal"/>
    <n v="9551484924"/>
    <x v="0"/>
    <s v="Jacket"/>
    <n v="824.49"/>
    <n v="9"/>
    <n v="1403.14"/>
    <s v="Debit Card"/>
    <x v="16"/>
    <s v="Medium"/>
    <n v="18.909197739747537"/>
  </r>
  <r>
    <s v="CUST1017"/>
    <x v="2"/>
    <s v="India"/>
    <s v="Uttar Pradesh"/>
    <n v="91682255459"/>
    <x v="2"/>
    <s v="Headphones"/>
    <n v="2896.96"/>
    <n v="7"/>
    <n v="3528.3"/>
    <s v="Net Banking"/>
    <x v="17"/>
    <s v="High"/>
    <n v="17.399027157532625"/>
  </r>
  <r>
    <s v="CUST1018"/>
    <x v="1"/>
    <s v="India"/>
    <s v="Maharashtra"/>
    <n v="9277023818"/>
    <x v="2"/>
    <s v="Monitor"/>
    <n v="1235.32"/>
    <n v="9"/>
    <n v="2542.0700000000002"/>
    <s v="Debit Card"/>
    <x v="18"/>
    <s v="High"/>
    <n v="22.864700824257866"/>
  </r>
  <r>
    <s v="CUST1019"/>
    <x v="2"/>
    <s v="India"/>
    <s v="Gujarat"/>
    <n v="9670448490"/>
    <x v="1"/>
    <s v="Table"/>
    <n v="2168.33"/>
    <n v="3"/>
    <n v="1394.93"/>
    <s v="Cash"/>
    <x v="19"/>
    <s v="Medium"/>
    <n v="21.443999145271555"/>
  </r>
  <r>
    <s v="CUST1020"/>
    <x v="2"/>
    <s v="India"/>
    <s v="West Bengal"/>
    <n v="9123788207"/>
    <x v="0"/>
    <s v="Jacket"/>
    <n v="2654.54"/>
    <n v="5"/>
    <n v="3308.52"/>
    <s v="Debit Card"/>
    <x v="20"/>
    <s v="High"/>
    <n v="24.92725669984253"/>
  </r>
  <r>
    <s v="CUST1021"/>
    <x v="0"/>
    <s v="India"/>
    <s v="Tamil Nadu"/>
    <n v="99831923457"/>
    <x v="2"/>
    <s v="Laptop"/>
    <n v="1313.77"/>
    <n v="7"/>
    <n v="2435.5500000000002"/>
    <s v="Cash"/>
    <x v="21"/>
    <s v="Medium"/>
    <n v="26.483761562961121"/>
  </r>
  <r>
    <s v="CUST1022"/>
    <x v="2"/>
    <s v="India"/>
    <s v="Gujarat"/>
    <n v="9822358874"/>
    <x v="2"/>
    <s v="Headphones"/>
    <n v="1602.24"/>
    <n v="13"/>
    <n v="3082.85"/>
    <s v="Debit Card"/>
    <x v="22"/>
    <s v="High"/>
    <n v="14.8006732881658"/>
  </r>
  <r>
    <s v="CUST1023"/>
    <x v="0"/>
    <s v="India"/>
    <s v="Uttar Pradesh"/>
    <n v="9497595031"/>
    <x v="1"/>
    <s v="Sofa"/>
    <n v="592.33000000000004"/>
    <n v="4"/>
    <n v="539.64"/>
    <s v="Net Banking"/>
    <x v="23"/>
    <s v="Low"/>
    <n v="22.776155183765802"/>
  </r>
  <r>
    <s v="CUST1024"/>
    <x v="1"/>
    <s v="India"/>
    <s v="Rajasthan"/>
    <n v="9781615192"/>
    <x v="2"/>
    <s v="Monitor"/>
    <n v="589.14"/>
    <n v="8"/>
    <n v="1252.56"/>
    <s v="Cash"/>
    <x v="24"/>
    <s v="Low"/>
    <n v="26.576026071901417"/>
  </r>
  <r>
    <s v="CUST1025"/>
    <x v="3"/>
    <s v="India"/>
    <s v="Uttar Pradesh"/>
    <n v="9310431691"/>
    <x v="1"/>
    <s v="Chair"/>
    <n v="2354.6"/>
    <n v="4"/>
    <n v="2575.4299999999998"/>
    <s v="Credit Card"/>
    <x v="25"/>
    <s v="Medium"/>
    <n v="27.344665760638748"/>
  </r>
  <r>
    <s v="CUST1026"/>
    <x v="2"/>
    <s v="India"/>
    <s v="Uttar Pradesh"/>
    <n v="9375633062"/>
    <x v="2"/>
    <s v="Smartphone"/>
    <n v="1920.55"/>
    <n v="6"/>
    <n v="2254.59"/>
    <s v="Credit Card"/>
    <x v="26"/>
    <s v="High"/>
    <n v="19.565489052615138"/>
  </r>
  <r>
    <s v="CUST1027"/>
    <x v="2"/>
    <s v="India"/>
    <s v="West Bengal"/>
    <n v="9958467371"/>
    <x v="0"/>
    <s v="Dress"/>
    <n v="1086.4100000000001"/>
    <n v="7"/>
    <n v="2066.7600000000002"/>
    <s v="Credit Card"/>
    <x v="27"/>
    <s v="Medium"/>
    <n v="27.176795921560785"/>
  </r>
  <r>
    <s v="CUST1028"/>
    <x v="2"/>
    <s v="India"/>
    <s v="West Bengal"/>
    <n v="9485913642"/>
    <x v="1"/>
    <s v="Bookshelf"/>
    <n v="1181.07"/>
    <n v="13"/>
    <n v="3821.07"/>
    <s v="Cash"/>
    <x v="28"/>
    <s v="High"/>
    <n v="24.886624970447269"/>
  </r>
  <r>
    <s v="CUST1029"/>
    <x v="2"/>
    <s v="India"/>
    <s v="Uttar Pradesh"/>
    <n v="9942727052"/>
    <x v="1"/>
    <s v="Cupboard"/>
    <n v="2521.1999999999998"/>
    <n v="8"/>
    <n v="6046.68"/>
    <s v="Credit Card"/>
    <x v="29"/>
    <s v="High"/>
    <n v="29.979176582579726"/>
  </r>
  <r>
    <s v="CUST1030"/>
    <x v="1"/>
    <s v="India"/>
    <s v="Gujarat"/>
    <n v="9164209990"/>
    <x v="0"/>
    <s v="Jeans"/>
    <n v="1741.71"/>
    <n v="15"/>
    <n v="4026.14"/>
    <s v="UPI"/>
    <x v="30"/>
    <s v="High"/>
    <n v="15.410678777370132"/>
  </r>
  <r>
    <s v="CUST1031"/>
    <x v="1"/>
    <s v="India"/>
    <s v="Uttar Pradesh"/>
    <n v="9972130283"/>
    <x v="1"/>
    <s v="Sofa"/>
    <n v="1691.18"/>
    <n v="9"/>
    <n v="3286.83"/>
    <s v="Net Banking"/>
    <x v="31"/>
    <s v="High"/>
    <n v="21.594586817094179"/>
  </r>
  <r>
    <s v="CUST1032"/>
    <x v="1"/>
    <s v="India"/>
    <s v="Uttar Pradesh"/>
    <n v="9305312346"/>
    <x v="0"/>
    <s v="Jacket"/>
    <n v="2430.4899999999998"/>
    <n v="1"/>
    <n v="538.34"/>
    <s v="Debit Card"/>
    <x v="32"/>
    <s v="Low"/>
    <n v="22.14944311640863"/>
  </r>
  <r>
    <s v="CUST1033"/>
    <x v="0"/>
    <s v="India"/>
    <s v="Uttar Pradesh"/>
    <n v="9403336927"/>
    <x v="0"/>
    <s v="Dress"/>
    <n v="1937.5"/>
    <n v="10"/>
    <n v="2548.08"/>
    <s v="UPI"/>
    <x v="33"/>
    <s v="High"/>
    <n v="13.151380645161289"/>
  </r>
  <r>
    <s v="CUST1034"/>
    <x v="3"/>
    <s v="India"/>
    <s v="Karnataka"/>
    <n v="9209432112"/>
    <x v="0"/>
    <s v="T-shirt"/>
    <n v="2848.61"/>
    <n v="15"/>
    <n v="6188.69"/>
    <s v="Debit Card"/>
    <x v="34"/>
    <s v="High"/>
    <n v="14.483531734190827"/>
  </r>
  <r>
    <s v="CUST1035"/>
    <x v="3"/>
    <s v="India"/>
    <s v="Maharashtra"/>
    <n v="92886736565"/>
    <x v="1"/>
    <s v="Cupboard"/>
    <n v="537.01"/>
    <n v="15"/>
    <n v="848.33"/>
    <s v="Debit Card"/>
    <x v="35"/>
    <s v="Medium"/>
    <n v="10.531523311173597"/>
  </r>
  <r>
    <s v="CUST1036"/>
    <x v="2"/>
    <s v="India"/>
    <s v="Karnataka"/>
    <n v="9696039067"/>
    <x v="1"/>
    <s v="Sofa"/>
    <n v="2052.79"/>
    <n v="1"/>
    <n v="296.79000000000002"/>
    <s v="Net Banking"/>
    <x v="36"/>
    <s v="Low"/>
    <n v="14.457884147915765"/>
  </r>
  <r>
    <s v="CUST1037"/>
    <x v="2"/>
    <s v="India"/>
    <s v="Maharashtra"/>
    <n v="9729755086"/>
    <x v="0"/>
    <s v="Jacket"/>
    <n v="1708.1"/>
    <n v="3"/>
    <n v="897.22"/>
    <s v="Credit Card"/>
    <x v="37"/>
    <s v="Medium"/>
    <n v="17.509123197314757"/>
  </r>
  <r>
    <s v="CUST1038"/>
    <x v="2"/>
    <s v="India"/>
    <s v="Uttar Pradesh"/>
    <n v="9291717779"/>
    <x v="2"/>
    <s v="Headphones"/>
    <n v="1616.55"/>
    <n v="14"/>
    <n v="6621.29"/>
    <s v="Credit Card"/>
    <x v="38"/>
    <s v="High"/>
    <n v="29.256706301338387"/>
  </r>
  <r>
    <s v="CUST1039"/>
    <x v="2"/>
    <s v="India"/>
    <s v="Karnataka"/>
    <n v="9596984707"/>
    <x v="0"/>
    <s v="Jeans"/>
    <n v="1774.62"/>
    <n v="7"/>
    <n v="3378.16"/>
    <s v="Credit Card"/>
    <x v="39"/>
    <s v="High"/>
    <n v="27.194232326598687"/>
  </r>
  <r>
    <s v="CUST1040"/>
    <x v="1"/>
    <s v="India"/>
    <s v="Gujarat"/>
    <n v="9621477109"/>
    <x v="2"/>
    <s v="Smartphone"/>
    <n v="644.14"/>
    <n v="12"/>
    <n v="988.52"/>
    <s v="Cash"/>
    <x v="40"/>
    <s v="Medium"/>
    <n v="12.788627731031553"/>
  </r>
  <r>
    <s v="CUST1041"/>
    <x v="1"/>
    <s v="India"/>
    <s v="West Bengal"/>
    <n v="9813614929"/>
    <x v="1"/>
    <s v="Sofa"/>
    <n v="1767.47"/>
    <n v="13"/>
    <n v="3353.4"/>
    <s v="UPI"/>
    <x v="41"/>
    <s v="High"/>
    <n v="14.594524724823966"/>
  </r>
  <r>
    <s v="CUST1042"/>
    <x v="2"/>
    <s v="India"/>
    <s v="Tamil Nadu"/>
    <n v="9314930259"/>
    <x v="0"/>
    <s v="Dress"/>
    <n v="2506.6"/>
    <n v="11"/>
    <n v="8011.16"/>
    <s v="UPI"/>
    <x v="42"/>
    <s v="High"/>
    <n v="29.05478627332932"/>
  </r>
  <r>
    <s v="CUST1043"/>
    <x v="0"/>
    <s v="India"/>
    <s v="West Bengal"/>
    <n v="93262535688"/>
    <x v="2"/>
    <s v="Tablet"/>
    <n v="727.87"/>
    <n v="2"/>
    <n v="385.93"/>
    <s v="Credit Card"/>
    <x v="43"/>
    <s v="Low"/>
    <n v="26.510915410718951"/>
  </r>
  <r>
    <s v="CUST1044"/>
    <x v="0"/>
    <s v="India"/>
    <s v="Uttar Pradesh"/>
    <n v="9922473225"/>
    <x v="1"/>
    <s v="Sofa"/>
    <n v="2509.39"/>
    <n v="4"/>
    <n v="2607.48"/>
    <s v="Credit Card"/>
    <x v="44"/>
    <s v="High"/>
    <n v="25.977229525900718"/>
  </r>
  <r>
    <s v="CUST1045"/>
    <x v="3"/>
    <s v="India"/>
    <s v="Rajasthan"/>
    <n v="9435049619"/>
    <x v="2"/>
    <s v="Monitor"/>
    <n v="254.27"/>
    <n v="5"/>
    <n v="247.89"/>
    <s v="Net Banking"/>
    <x v="45"/>
    <s v="Low"/>
    <n v="19.498171235301054"/>
  </r>
  <r>
    <s v="CUST1046"/>
    <x v="2"/>
    <s v="India"/>
    <s v="Uttar Pradesh"/>
    <n v="9139717689"/>
    <x v="2"/>
    <s v="Tablet"/>
    <n v="1104.23"/>
    <n v="11"/>
    <n v="1883.37"/>
    <s v="Credit Card"/>
    <x v="46"/>
    <s v="High"/>
    <n v="15.50541595006969"/>
  </r>
  <r>
    <s v="CUST1047"/>
    <x v="1"/>
    <s v="India"/>
    <s v="West Bengal"/>
    <n v="9873282041"/>
    <x v="2"/>
    <s v="Laptop"/>
    <n v="861.53"/>
    <n v="3"/>
    <n v="482.01"/>
    <s v="Debit Card"/>
    <x v="47"/>
    <s v="Low"/>
    <n v="18.649379592120994"/>
  </r>
  <r>
    <s v="CUST1048"/>
    <x v="3"/>
    <s v="India"/>
    <s v="West Bengal"/>
    <n v="9520705759"/>
    <x v="0"/>
    <s v="T-shirt"/>
    <n v="940.76"/>
    <n v="4"/>
    <n v="842.47"/>
    <s v="Debit Card"/>
    <x v="48"/>
    <s v="Low"/>
    <n v="22.38801607211191"/>
  </r>
  <r>
    <s v="CUST1049"/>
    <x v="2"/>
    <s v="India"/>
    <s v="West Bengal"/>
    <n v="9648648568"/>
    <x v="0"/>
    <s v="T-shirt"/>
    <n v="1505.5"/>
    <n v="11"/>
    <n v="3985.19"/>
    <s v="Debit Card"/>
    <x v="49"/>
    <s v="High"/>
    <n v="24.064430421786781"/>
  </r>
  <r>
    <s v="CUST1050"/>
    <x v="0"/>
    <s v="India"/>
    <s v="Uttar Pradesh"/>
    <n v="9416435713"/>
    <x v="0"/>
    <s v="Jeans"/>
    <n v="1477.49"/>
    <n v="11"/>
    <n v="2428.98"/>
    <s v="Credit Card"/>
    <x v="50"/>
    <s v="High"/>
    <n v="14.945371111571898"/>
  </r>
  <r>
    <s v="CUST1051"/>
    <x v="2"/>
    <s v="India"/>
    <s v="Rajasthan"/>
    <n v="9211381294"/>
    <x v="1"/>
    <s v="Chair"/>
    <n v="704.64"/>
    <n v="2"/>
    <n v="163.57"/>
    <s v="UPI"/>
    <x v="51"/>
    <s v="Low"/>
    <n v="11.606636012715713"/>
  </r>
  <r>
    <s v="CUST1052"/>
    <x v="3"/>
    <s v="India"/>
    <s v="West Bengal"/>
    <n v="9791244114"/>
    <x v="1"/>
    <s v="Cupboard"/>
    <n v="2030.2"/>
    <n v="13"/>
    <n v="3695.03"/>
    <s v="Net Banking"/>
    <x v="52"/>
    <s v="High"/>
    <n v="14.000250070095404"/>
  </r>
  <r>
    <s v="CUST1053"/>
    <x v="0"/>
    <s v="India"/>
    <s v="Rajasthan"/>
    <n v="9194670146"/>
    <x v="0"/>
    <s v="Shirt"/>
    <n v="1822.28"/>
    <n v="4"/>
    <n v="1973.2"/>
    <s v="Cash"/>
    <x v="53"/>
    <s v="Medium"/>
    <n v="27.070483131022677"/>
  </r>
  <r>
    <s v="CUST1054"/>
    <x v="3"/>
    <s v="India"/>
    <s v="Maharashtra"/>
    <n v="9519275644"/>
    <x v="1"/>
    <s v="Sofa"/>
    <n v="600.17999999999995"/>
    <n v="11"/>
    <n v="1525.57"/>
    <s v="Credit Card"/>
    <x v="54"/>
    <s v="Medium"/>
    <n v="23.107764640304879"/>
  </r>
  <r>
    <s v="CUST1055"/>
    <x v="1"/>
    <s v="India"/>
    <s v="Maharashtra"/>
    <n v="9520013561"/>
    <x v="0"/>
    <s v="T-shirt"/>
    <n v="2330.36"/>
    <n v="7"/>
    <n v="3532.26"/>
    <s v="Debit Card"/>
    <x v="55"/>
    <s v="High"/>
    <n v="21.653674600858729"/>
  </r>
  <r>
    <s v="CUST1056"/>
    <x v="3"/>
    <s v="India"/>
    <s v="Gujarat"/>
    <n v="95989895092"/>
    <x v="2"/>
    <s v="Headphones"/>
    <n v="1084.67"/>
    <n v="13"/>
    <n v="4140.1400000000003"/>
    <s v="Cash"/>
    <x v="56"/>
    <s v="High"/>
    <n v="29.361216562853926"/>
  </r>
  <r>
    <s v="CUST1057"/>
    <x v="2"/>
    <s v="India"/>
    <s v="Uttar Pradesh"/>
    <n v="9499862542"/>
    <x v="1"/>
    <s v="Cupboard"/>
    <n v="1893.55"/>
    <n v="12"/>
    <n v="3204.64"/>
    <s v="Net Banking"/>
    <x v="57"/>
    <s v="High"/>
    <n v="14.103315641695932"/>
  </r>
  <r>
    <s v="CUST1058"/>
    <x v="3"/>
    <s v="India"/>
    <s v="Gujarat"/>
    <n v="9724136290"/>
    <x v="1"/>
    <s v="Chair"/>
    <n v="1747.22"/>
    <n v="6"/>
    <n v="2678.22"/>
    <s v="Cash"/>
    <x v="58"/>
    <s v="High"/>
    <n v="25.547441077826488"/>
  </r>
  <r>
    <s v="CUST1059"/>
    <x v="2"/>
    <s v="India"/>
    <s v="Gujarat"/>
    <n v="9321909198"/>
    <x v="1"/>
    <s v="Bookshelf"/>
    <n v="287.31"/>
    <n v="8"/>
    <n v="381.56"/>
    <s v="Debit Card"/>
    <x v="59"/>
    <s v="Low"/>
    <n v="16.600536006404234"/>
  </r>
  <r>
    <s v="CUST1060"/>
    <x v="3"/>
    <s v="India"/>
    <s v="Maharashtra"/>
    <n v="9760693305"/>
    <x v="0"/>
    <s v="Shirt"/>
    <n v="1700.05"/>
    <n v="2"/>
    <n v="383.92"/>
    <s v="UPI"/>
    <x v="60"/>
    <s v="Low"/>
    <n v="11.291432604923385"/>
  </r>
  <r>
    <s v="CUST1061"/>
    <x v="2"/>
    <s v="India"/>
    <s v="Gujarat"/>
    <n v="9658575570"/>
    <x v="1"/>
    <s v="Bookshelf"/>
    <n v="1180.31"/>
    <n v="7"/>
    <n v="847.73"/>
    <s v="UPI"/>
    <x v="61"/>
    <s v="Medium"/>
    <n v="10.260379537094977"/>
  </r>
  <r>
    <s v="CUST1062"/>
    <x v="1"/>
    <s v="India"/>
    <s v="Gujarat"/>
    <n v="9950273824"/>
    <x v="1"/>
    <s v="Cupboard"/>
    <n v="653.35"/>
    <n v="4"/>
    <n v="345.46"/>
    <s v="Credit Card"/>
    <x v="62"/>
    <s v="Low"/>
    <n v="13.218795438891865"/>
  </r>
  <r>
    <s v="CUST1063"/>
    <x v="1"/>
    <s v="India"/>
    <s v="Tamil Nadu"/>
    <n v="9898816813"/>
    <x v="2"/>
    <s v="Laptop"/>
    <n v="1881.74"/>
    <n v="4"/>
    <n v="1363.83"/>
    <s v="Debit Card"/>
    <x v="63"/>
    <s v="Medium"/>
    <n v="18.119267273906065"/>
  </r>
  <r>
    <s v="CUST1064"/>
    <x v="3"/>
    <s v="India"/>
    <s v="Rajasthan"/>
    <n v="9571594565"/>
    <x v="1"/>
    <s v="Table"/>
    <n v="1206.3499999999999"/>
    <n v="15"/>
    <n v="2801.82"/>
    <s v="UPI"/>
    <x v="64"/>
    <s v="High"/>
    <n v="15.483731918597424"/>
  </r>
  <r>
    <s v="CUST1065"/>
    <x v="1"/>
    <s v="India"/>
    <s v="Maharashtra"/>
    <n v="9684352160"/>
    <x v="0"/>
    <s v="Jacket"/>
    <n v="1849.95"/>
    <n v="5"/>
    <n v="2111.02"/>
    <s v="Debit Card"/>
    <x v="65"/>
    <s v="Medium"/>
    <n v="22.822454660936781"/>
  </r>
  <r>
    <s v="CUST1066"/>
    <x v="0"/>
    <s v="India"/>
    <s v="West Bengal"/>
    <n v="9845713875"/>
    <x v="2"/>
    <s v="Tablet"/>
    <n v="1896.1"/>
    <n v="5"/>
    <n v="2676.46"/>
    <s v="Debit Card"/>
    <x v="66"/>
    <s v="Medium"/>
    <n v="28.231211433996094"/>
  </r>
  <r>
    <s v="CUST1067"/>
    <x v="1"/>
    <s v="India"/>
    <s v="Tamil Nadu"/>
    <n v="85"/>
    <x v="1"/>
    <s v="Bookshelf"/>
    <n v="1799.6"/>
    <n v="6"/>
    <n v="1551.79"/>
    <s v="Cash"/>
    <x v="67"/>
    <s v="High"/>
    <n v="14.371619619174632"/>
  </r>
  <r>
    <s v="CUST1068"/>
    <x v="3"/>
    <s v="India"/>
    <s v="Karnataka"/>
    <n v="9304184751"/>
    <x v="1"/>
    <s v="Cupboard"/>
    <n v="1330.26"/>
    <n v="2"/>
    <n v="669.54"/>
    <s v="Credit Card"/>
    <x v="68"/>
    <s v="Low"/>
    <n v="25.165757070046457"/>
  </r>
  <r>
    <s v="CUST1069"/>
    <x v="3"/>
    <s v="India"/>
    <s v="Rajasthan"/>
    <n v="9141039856"/>
    <x v="2"/>
    <s v="Smartphone"/>
    <n v="322.57"/>
    <n v="13"/>
    <n v="684.45"/>
    <s v="Debit Card"/>
    <x v="69"/>
    <s v="Low"/>
    <n v="16.322038627274701"/>
  </r>
  <r>
    <s v="CUST1070"/>
    <x v="2"/>
    <s v="India"/>
    <s v="Tamil Nadu"/>
    <n v="9640589740"/>
    <x v="2"/>
    <s v="Tablet"/>
    <n v="1510.41"/>
    <n v="1"/>
    <n v="434.79"/>
    <s v="Net Banking"/>
    <x v="70"/>
    <s v="Low"/>
    <n v="28.786223608159371"/>
  </r>
  <r>
    <s v="CUST1071"/>
    <x v="1"/>
    <s v="India"/>
    <s v="Karnataka"/>
    <n v="9406517796"/>
    <x v="0"/>
    <s v="Dress"/>
    <n v="1085.52"/>
    <n v="4"/>
    <n v="749.57"/>
    <s v="Credit Card"/>
    <x v="71"/>
    <s v="Low"/>
    <n v="17.262924681258752"/>
  </r>
  <r>
    <s v="CUST1072"/>
    <x v="1"/>
    <s v="India"/>
    <s v="Maharashtra"/>
    <n v="9606169051"/>
    <x v="1"/>
    <s v="Table"/>
    <n v="1441.79"/>
    <n v="14"/>
    <n v="3929.03"/>
    <s v="Debit Card"/>
    <x v="72"/>
    <s v="High"/>
    <n v="19.465039985018624"/>
  </r>
  <r>
    <s v="CUST1073"/>
    <x v="3"/>
    <s v="India"/>
    <s v="Rajasthan"/>
    <n v="9350461925"/>
    <x v="1"/>
    <s v="Cupboard"/>
    <n v="686.64"/>
    <n v="8"/>
    <n v="878.07"/>
    <s v="Credit Card"/>
    <x v="73"/>
    <s v="Medium"/>
    <n v="15.984904753582665"/>
  </r>
  <r>
    <s v="CUST1074"/>
    <x v="0"/>
    <s v="India"/>
    <s v="West Bengal"/>
    <n v="9996467468"/>
    <x v="0"/>
    <s v="Dress"/>
    <n v="2830.64"/>
    <n v="6"/>
    <n v="1830.75"/>
    <s v="Credit Card"/>
    <x v="74"/>
    <s v="High"/>
    <n v="10.779364384026227"/>
  </r>
  <r>
    <s v="CUST1075"/>
    <x v="0"/>
    <s v="India"/>
    <s v="Rajasthan"/>
    <n v="9128345710"/>
    <x v="2"/>
    <s v="Headphones"/>
    <n v="2619.08"/>
    <n v="6"/>
    <n v="4245.2299999999996"/>
    <s v="Net Banking"/>
    <x v="75"/>
    <s v="High"/>
    <n v="27.014765999256735"/>
  </r>
  <r>
    <s v="CUST1076"/>
    <x v="2"/>
    <s v="India"/>
    <s v="Gujarat"/>
    <n v="9392055351"/>
    <x v="0"/>
    <s v="Jeans"/>
    <n v="503.93"/>
    <n v="11"/>
    <n v="1183.48"/>
    <s v="Cash"/>
    <x v="76"/>
    <s v="Medium"/>
    <n v="21.35000712580932"/>
  </r>
  <r>
    <s v="CUST1077"/>
    <x v="1"/>
    <s v="India"/>
    <s v="Tamil Nadu"/>
    <n v="9980141994"/>
    <x v="1"/>
    <s v="Bookshelf"/>
    <n v="467.71"/>
    <n v="12"/>
    <n v="1223.23"/>
    <s v="Credit Card"/>
    <x v="77"/>
    <s v="Medium"/>
    <n v="21.794666210543571"/>
  </r>
  <r>
    <s v="CUST1078"/>
    <x v="0"/>
    <s v="India"/>
    <s v="Maharashtra"/>
    <n v="9403999543"/>
    <x v="1"/>
    <s v="Chair"/>
    <n v="2307.34"/>
    <n v="14"/>
    <n v="3571.15"/>
    <s v="Debit Card"/>
    <x v="78"/>
    <s v="High"/>
    <n v="11.055247291562702"/>
  </r>
  <r>
    <s v="CUST1079"/>
    <x v="3"/>
    <s v="India"/>
    <s v="Uttar Pradesh"/>
    <n v="9164427200"/>
    <x v="2"/>
    <s v="Tablet"/>
    <n v="1513.57"/>
    <n v="14"/>
    <n v="5761.18"/>
    <s v="Credit Card"/>
    <x v="79"/>
    <s v="High"/>
    <n v="27.188227643442797"/>
  </r>
  <r>
    <s v="CUST1080"/>
    <x v="3"/>
    <s v="India"/>
    <s v="Maharashtra"/>
    <n v="858947"/>
    <x v="1"/>
    <s v="Cupboard"/>
    <n v="2213.4499999999998"/>
    <n v="3"/>
    <n v="867.33"/>
    <s v="Debit Card"/>
    <x v="80"/>
    <s v="Medium"/>
    <n v="13.06151031195645"/>
  </r>
  <r>
    <s v="CUST1081"/>
    <x v="1"/>
    <s v="India"/>
    <s v="Tamil Nadu"/>
    <n v="9789825611"/>
    <x v="0"/>
    <s v="Dress"/>
    <n v="384.21"/>
    <n v="5"/>
    <n v="354.16"/>
    <s v="Debit Card"/>
    <x v="81"/>
    <s v="Low"/>
    <n v="18.435751281851072"/>
  </r>
  <r>
    <s v="CUST1082"/>
    <x v="2"/>
    <s v="India"/>
    <s v="Maharashtra"/>
    <n v="9371462183"/>
    <x v="2"/>
    <s v="Headphones"/>
    <n v="498.41"/>
    <n v="7"/>
    <n v="435.36"/>
    <s v="UPI"/>
    <x v="82"/>
    <s v="Low"/>
    <n v="12.478538896548166"/>
  </r>
  <r>
    <s v="CUST1083"/>
    <x v="3"/>
    <s v="India"/>
    <s v="Maharashtra"/>
    <n v="9444893207"/>
    <x v="0"/>
    <s v="Dress"/>
    <n v="1599.24"/>
    <n v="10"/>
    <n v="4368.75"/>
    <s v="UPI"/>
    <x v="83"/>
    <s v="High"/>
    <n v="27.317663390110305"/>
  </r>
  <r>
    <s v="CUST1084"/>
    <x v="0"/>
    <s v="India"/>
    <s v="Rajasthan"/>
    <n v="9339358166"/>
    <x v="1"/>
    <s v="Sofa"/>
    <n v="962.07"/>
    <n v="9"/>
    <n v="905.89"/>
    <s v="UPI"/>
    <x v="84"/>
    <s v="Medium"/>
    <n v="10.462278674570918"/>
  </r>
  <r>
    <s v="CUST1085"/>
    <x v="0"/>
    <s v="India"/>
    <s v="West Bengal"/>
    <n v="9119201960"/>
    <x v="1"/>
    <s v="Bookshelf"/>
    <n v="1673.22"/>
    <n v="7"/>
    <n v="1935.04"/>
    <s v="Debit Card"/>
    <x v="85"/>
    <s v="High"/>
    <n v="16.521096192627731"/>
  </r>
  <r>
    <s v="CUST1086"/>
    <x v="0"/>
    <s v="India"/>
    <s v="Tamil Nadu"/>
    <n v="9161700373"/>
    <x v="0"/>
    <s v="T-shirt"/>
    <n v="791.24"/>
    <n v="4"/>
    <n v="366.17"/>
    <s v="UPI"/>
    <x v="86"/>
    <s v="Low"/>
    <n v="11.569498508669936"/>
  </r>
  <r>
    <s v="CUST1087"/>
    <x v="1"/>
    <s v="India"/>
    <s v="Uttar Pradesh"/>
    <n v="9242580997"/>
    <x v="0"/>
    <s v="Jeans"/>
    <n v="1210.8599999999999"/>
    <n v="3"/>
    <n v="698.75"/>
    <s v="UPI"/>
    <x v="87"/>
    <s v="Low"/>
    <n v="19.235639683090255"/>
  </r>
  <r>
    <s v="CUST1088"/>
    <x v="3"/>
    <s v="India"/>
    <s v="Gujarat"/>
    <n v="9370714466"/>
    <x v="0"/>
    <s v="T-shirt"/>
    <n v="619.57000000000005"/>
    <n v="7"/>
    <n v="562.75"/>
    <s v="UPI"/>
    <x v="88"/>
    <s v="Low"/>
    <n v="12.975589060615771"/>
  </r>
  <r>
    <s v="CUST1089"/>
    <x v="0"/>
    <s v="India"/>
    <s v="Maharashtra"/>
    <n v="9427647839"/>
    <x v="2"/>
    <s v="Monitor"/>
    <n v="308.5"/>
    <n v="15"/>
    <n v="802.96"/>
    <s v="Credit Card"/>
    <x v="89"/>
    <s v="Low"/>
    <n v="17.351917882225827"/>
  </r>
  <r>
    <s v="CUST1090"/>
    <x v="2"/>
    <s v="India"/>
    <s v="Maharashtra"/>
    <n v="9942075195"/>
    <x v="0"/>
    <s v="Dress"/>
    <n v="1853.37"/>
    <n v="5"/>
    <n v="1661.2"/>
    <s v="Credit Card"/>
    <x v="90"/>
    <s v="Medium"/>
    <n v="17.92626404873285"/>
  </r>
  <r>
    <s v="CUST1091"/>
    <x v="1"/>
    <s v="India"/>
    <s v="Rajasthan"/>
    <n v="9857569233"/>
    <x v="0"/>
    <s v="Jacket"/>
    <n v="2501.48"/>
    <n v="6"/>
    <n v="4142.5200000000004"/>
    <s v="Net Banking"/>
    <x v="91"/>
    <s v="High"/>
    <n v="27.600460527367797"/>
  </r>
  <r>
    <s v="CUST1092"/>
    <x v="1"/>
    <s v="India"/>
    <s v="Karnataka"/>
    <n v="9944969047"/>
    <x v="2"/>
    <s v="Laptop"/>
    <n v="2596.13"/>
    <n v="5"/>
    <n v="1453.33"/>
    <s v="Net Banking"/>
    <x v="92"/>
    <s v="High"/>
    <n v="11.196126542199348"/>
  </r>
  <r>
    <s v="CUST1093"/>
    <x v="0"/>
    <s v="India"/>
    <s v="West Bengal"/>
    <n v="56428436"/>
    <x v="2"/>
    <s v="Headphones"/>
    <n v="2209.52"/>
    <n v="6"/>
    <n v="3760.49"/>
    <s v="Net Banking"/>
    <x v="93"/>
    <s v="High"/>
    <n v="28.365813992782744"/>
  </r>
  <r>
    <s v="CUST1094"/>
    <x v="2"/>
    <s v="India"/>
    <s v="Gujarat"/>
    <n v="9705241364"/>
    <x v="1"/>
    <s v="Sofa"/>
    <n v="458.7"/>
    <n v="7"/>
    <n v="839.97"/>
    <s v="Net Banking"/>
    <x v="94"/>
    <s v="Low"/>
    <n v="26.159955152760912"/>
  </r>
  <r>
    <s v="CUST1095"/>
    <x v="2"/>
    <s v="India"/>
    <s v="Karnataka"/>
    <n v="9245776255"/>
    <x v="0"/>
    <s v="Jeans"/>
    <n v="833.16"/>
    <n v="12"/>
    <n v="2135.63"/>
    <s v="Net Banking"/>
    <x v="95"/>
    <s v="Medium"/>
    <n v="21.360743034551188"/>
  </r>
  <r>
    <s v="CUST1096"/>
    <x v="2"/>
    <s v="India"/>
    <s v="Uttar Pradesh"/>
    <n v="9881212856"/>
    <x v="0"/>
    <s v="Jeans"/>
    <n v="238.37"/>
    <n v="13"/>
    <n v="586.94000000000005"/>
    <s v="Net Banking"/>
    <x v="96"/>
    <s v="Low"/>
    <n v="18.940819217699701"/>
  </r>
  <r>
    <s v="CUST1097"/>
    <x v="0"/>
    <s v="India"/>
    <s v="Gujarat"/>
    <n v="9916091858"/>
    <x v="0"/>
    <s v="Dress"/>
    <n v="820.05"/>
    <n v="3"/>
    <n v="419.41"/>
    <s v="UPI"/>
    <x v="97"/>
    <s v="Low"/>
    <n v="17.048147470682686"/>
  </r>
  <r>
    <s v="CUST1098"/>
    <x v="3"/>
    <s v="India"/>
    <s v="Karnataka"/>
    <n v="9425191872"/>
    <x v="2"/>
    <s v="Headphones"/>
    <n v="2716.33"/>
    <n v="8"/>
    <n v="5513.14"/>
    <s v="Net Banking"/>
    <x v="98"/>
    <s v="High"/>
    <n v="25.370352644929007"/>
  </r>
  <r>
    <s v="CUST1099"/>
    <x v="3"/>
    <s v="India"/>
    <s v="Uttar Pradesh"/>
    <n v="9459337548"/>
    <x v="0"/>
    <s v="Jacket"/>
    <n v="1918.81"/>
    <n v="1"/>
    <n v="442.75"/>
    <s v="Cash"/>
    <x v="99"/>
    <s v="Low"/>
    <n v="23.0741970283665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E77180-0465-43D9-9445-256B50E5A11D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05:C110" firstHeaderRow="0" firstDataRow="1" firstDataCol="1"/>
  <pivotFields count="14">
    <pivotField compact="0" outline="0" showAll="0"/>
    <pivotField axis="axisRow" compact="0" outline="0" showAll="0">
      <items count="5">
        <item x="2"/>
        <item x="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>
      <items count="101">
        <item x="7"/>
        <item x="45"/>
        <item x="2"/>
        <item x="51"/>
        <item x="43"/>
        <item x="70"/>
        <item x="99"/>
        <item x="81"/>
        <item x="36"/>
        <item x="59"/>
        <item x="12"/>
        <item x="23"/>
        <item x="32"/>
        <item x="97"/>
        <item x="47"/>
        <item x="62"/>
        <item x="68"/>
        <item x="10"/>
        <item x="96"/>
        <item x="86"/>
        <item x="94"/>
        <item x="60"/>
        <item x="82"/>
        <item x="87"/>
        <item x="48"/>
        <item x="69"/>
        <item x="88"/>
        <item x="71"/>
        <item x="89"/>
        <item x="24"/>
        <item x="37"/>
        <item x="73"/>
        <item x="76"/>
        <item x="77"/>
        <item x="3"/>
        <item x="19"/>
        <item x="54"/>
        <item x="80"/>
        <item x="13"/>
        <item x="53"/>
        <item x="16"/>
        <item x="63"/>
        <item x="27"/>
        <item x="40"/>
        <item x="8"/>
        <item x="35"/>
        <item x="61"/>
        <item x="6"/>
        <item x="84"/>
        <item x="21"/>
        <item x="65"/>
        <item x="90"/>
        <item x="25"/>
        <item x="66"/>
        <item x="95"/>
        <item x="44"/>
        <item x="58"/>
        <item x="67"/>
        <item x="11"/>
        <item x="18"/>
        <item x="26"/>
        <item x="85"/>
        <item x="46"/>
        <item x="0"/>
        <item x="39"/>
        <item x="92"/>
        <item x="93"/>
        <item x="20"/>
        <item x="56"/>
        <item x="91"/>
        <item x="31"/>
        <item x="28"/>
        <item x="75"/>
        <item x="83"/>
        <item x="50"/>
        <item x="55"/>
        <item x="49"/>
        <item x="74"/>
        <item x="64"/>
        <item x="5"/>
        <item x="33"/>
        <item x="14"/>
        <item x="29"/>
        <item x="72"/>
        <item x="17"/>
        <item x="22"/>
        <item x="1"/>
        <item x="79"/>
        <item x="98"/>
        <item x="38"/>
        <item x="57"/>
        <item x="41"/>
        <item x="30"/>
        <item x="52"/>
        <item x="42"/>
        <item x="4"/>
        <item x="78"/>
        <item x="9"/>
        <item x="15"/>
        <item x="34"/>
        <item t="default"/>
      </items>
    </pivotField>
    <pivotField compact="0" outline="0" showAll="0"/>
    <pivotField compact="0" numFmtId="2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Revenue" fld="11" baseField="0" baseItem="0"/>
    <dataField name="Total Profit" fld="9" baseField="0" baseItem="0"/>
  </dataFields>
  <formats count="12">
    <format dxfId="19">
      <pivotArea type="all" dataOnly="0" outline="0" fieldPosition="0"/>
    </format>
    <format dxfId="20">
      <pivotArea outline="0" collapsedLevelsAreSubtotals="1" fieldPosition="0"/>
    </format>
    <format dxfId="21">
      <pivotArea field="1" type="button" dataOnly="0" labelOnly="1" outline="0" axis="axisRow" fieldPosition="0"/>
    </format>
    <format dxfId="22">
      <pivotArea dataOnly="0" labelOnly="1" outline="0" fieldPosition="0">
        <references count="1">
          <reference field="1" count="0"/>
        </references>
      </pivotArea>
    </format>
    <format dxfId="23">
      <pivotArea dataOnly="0" labelOnly="1" grandRow="1" outline="0" fieldPosition="0"/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" type="button" dataOnly="0" labelOnly="1" outline="0" axis="axisRow" fieldPosition="0"/>
    </format>
    <format dxfId="8">
      <pivotArea dataOnly="0" labelOnly="1" outline="0" fieldPosition="0">
        <references count="1">
          <reference field="1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DB5E88-77B6-402B-922B-63D7BBBC27A2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12:B116" firstHeaderRow="1" firstDataRow="1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Units Sold" fld="8" subtotal="average" baseField="0" baseItem="0" numFmtId="1"/>
  </dataFields>
  <formats count="14">
    <format dxfId="25">
      <pivotArea outline="0" collapsedLevelsAreSubtotals="1" fieldPosition="0"/>
    </format>
    <format dxfId="26">
      <pivotArea type="all" dataOnly="0" outline="0" fieldPosition="0"/>
    </format>
    <format dxfId="27">
      <pivotArea outline="0" collapsedLevelsAreSubtotals="1" fieldPosition="0"/>
    </format>
    <format dxfId="28">
      <pivotArea field="5" type="button" dataOnly="0" labelOnly="1" outline="0" axis="axisRow" fieldPosition="0"/>
    </format>
    <format dxfId="29">
      <pivotArea dataOnly="0" labelOnly="1" outline="0" fieldPosition="0">
        <references count="1">
          <reference field="5" count="0"/>
        </references>
      </pivotArea>
    </format>
    <format dxfId="30">
      <pivotArea dataOnly="0" labelOnly="1" grandRow="1" outline="0" fieldPosition="0"/>
    </format>
    <format dxfId="31">
      <pivotArea dataOnly="0" labelOnly="1" outline="0" axis="axisValues" fieldPosition="0"/>
    </format>
    <format dxfId="12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5" type="button" dataOnly="0" labelOnly="1" outline="0" axis="axisRow" fieldPosition="0"/>
    </format>
    <format dxfId="2">
      <pivotArea dataOnly="0" labelOnly="1" outline="0" fieldPosition="0">
        <references count="1">
          <reference field="5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11ACBA-97FF-44DF-9FCA-0E1417DCDCAB}" name="Table2" displayName="Table2" ref="A1:N101" totalsRowShown="0" headerRowDxfId="32" dataDxfId="33" headerRowBorderDxfId="49" tableBorderDxfId="50" totalsRowBorderDxfId="48">
  <autoFilter ref="A1:N101" xr:uid="{B611ACBA-97FF-44DF-9FCA-0E1417DCDCAB}"/>
  <tableColumns count="14">
    <tableColumn id="1" xr3:uid="{16176502-0986-4509-AA4B-8D56FC5740FB}" name="Customer ID" dataDxfId="47"/>
    <tableColumn id="2" xr3:uid="{A3115AD9-1CFC-477C-851D-E8C9FEC2E39C}" name="Region" dataDxfId="46"/>
    <tableColumn id="3" xr3:uid="{24E851B1-2CF0-40D8-BA44-35E85D60BEE3}" name="Country" dataDxfId="45"/>
    <tableColumn id="4" xr3:uid="{2C4E54AB-4FC0-48DB-A24D-4F01C38F495D}" name="State" dataDxfId="44"/>
    <tableColumn id="5" xr3:uid="{B43B9D71-330F-45AC-B432-E7DEC583114A}" name="Phone Number" dataDxfId="43"/>
    <tableColumn id="6" xr3:uid="{74FBCCD6-019E-408F-8EF5-6A72476AAB30}" name="Category" dataDxfId="42"/>
    <tableColumn id="7" xr3:uid="{0568022E-92BD-425B-8B40-98B3F7848E8C}" name="Product" dataDxfId="41"/>
    <tableColumn id="8" xr3:uid="{2617FFDF-1962-482C-B0B7-880ABA8B86F8}" name="Price" dataDxfId="40"/>
    <tableColumn id="9" xr3:uid="{606F4131-4722-42D2-A99C-B6179D70B12F}" name="Units Sold" dataDxfId="39"/>
    <tableColumn id="10" xr3:uid="{2BA5A117-FA00-4E92-8BD8-DFE5EF7210D2}" name="Profit" dataDxfId="38"/>
    <tableColumn id="11" xr3:uid="{8D3EDD91-D99E-431E-8635-2753EA8B3F30}" name="Mode of Payment" dataDxfId="37"/>
    <tableColumn id="12" xr3:uid="{2D919BAF-8704-4B95-B395-C88C01F416E3}" name="Revenue" dataDxfId="36">
      <calculatedColumnFormula>H2*I2</calculatedColumnFormula>
    </tableColumn>
    <tableColumn id="13" xr3:uid="{9CD69A19-481A-46CF-8AD3-3C85659EE157}" name="Revenue Label" dataDxfId="35">
      <calculatedColumnFormula>IF(L2&gt;10000,"High",IF(L2&lt;5000,"Low","Medium"))</calculatedColumnFormula>
    </tableColumn>
    <tableColumn id="14" xr3:uid="{E1F3F1F1-57FF-4DF4-93A3-57A040207AE6}" name="Profit %" dataDxfId="34">
      <calculatedColumnFormula>(J2/L2)*100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97DC2-A9FB-49C6-876F-D8FC4B7E8581}">
  <dimension ref="A1:N116"/>
  <sheetViews>
    <sheetView tabSelected="1" topLeftCell="A70" workbookViewId="0">
      <selection activeCell="H70" sqref="H70"/>
    </sheetView>
  </sheetViews>
  <sheetFormatPr defaultRowHeight="14.5" x14ac:dyDescent="0.35"/>
  <cols>
    <col min="1" max="1" width="13.26953125" customWidth="1"/>
    <col min="2" max="2" width="15.08984375" customWidth="1"/>
    <col min="3" max="3" width="13.26953125" customWidth="1"/>
    <col min="4" max="4" width="13" bestFit="1" customWidth="1"/>
    <col min="5" max="5" width="15.453125" customWidth="1"/>
    <col min="6" max="6" width="10.26953125" customWidth="1"/>
    <col min="7" max="7" width="9.453125" customWidth="1"/>
    <col min="9" max="9" width="11.1796875" customWidth="1"/>
    <col min="11" max="11" width="17.81640625" customWidth="1"/>
    <col min="12" max="12" width="10" customWidth="1"/>
    <col min="13" max="13" width="14.81640625" customWidth="1"/>
    <col min="14" max="14" width="9.453125" customWidth="1"/>
  </cols>
  <sheetData>
    <row r="1" spans="1:14" s="1" customFormat="1" x14ac:dyDescent="0.3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9" t="s">
        <v>13</v>
      </c>
    </row>
    <row r="2" spans="1:14" ht="18" customHeight="1" x14ac:dyDescent="0.35">
      <c r="A2" s="5" t="s">
        <v>14</v>
      </c>
      <c r="B2" s="3" t="s">
        <v>15</v>
      </c>
      <c r="C2" s="3" t="s">
        <v>16</v>
      </c>
      <c r="D2" s="3" t="s">
        <v>17</v>
      </c>
      <c r="E2" s="3">
        <v>9515759149</v>
      </c>
      <c r="F2" s="3" t="s">
        <v>18</v>
      </c>
      <c r="G2" s="3" t="s">
        <v>19</v>
      </c>
      <c r="H2" s="3">
        <v>2439.81</v>
      </c>
      <c r="I2" s="3">
        <v>5</v>
      </c>
      <c r="J2" s="3">
        <v>3559.55</v>
      </c>
      <c r="K2" s="3" t="s">
        <v>20</v>
      </c>
      <c r="L2" s="3">
        <f>H2*I2</f>
        <v>12199.05</v>
      </c>
      <c r="M2" s="4" t="str">
        <f>IF(L2&gt;10000,"High",IF(L2&lt;5000,"Low","Medium"))</f>
        <v>High</v>
      </c>
      <c r="N2" s="6">
        <f>(J2/L2)*100</f>
        <v>29.178911472614672</v>
      </c>
    </row>
    <row r="3" spans="1:14" x14ac:dyDescent="0.35">
      <c r="A3" s="5" t="s">
        <v>21</v>
      </c>
      <c r="B3" s="3" t="s">
        <v>15</v>
      </c>
      <c r="C3" s="3" t="s">
        <v>16</v>
      </c>
      <c r="D3" s="3" t="s">
        <v>17</v>
      </c>
      <c r="E3" s="3">
        <v>9720381947</v>
      </c>
      <c r="F3" s="3" t="s">
        <v>22</v>
      </c>
      <c r="G3" s="3" t="s">
        <v>23</v>
      </c>
      <c r="H3" s="3">
        <v>1621.43</v>
      </c>
      <c r="I3" s="3">
        <v>13</v>
      </c>
      <c r="J3" s="3">
        <v>4029.57</v>
      </c>
      <c r="K3" s="3" t="s">
        <v>24</v>
      </c>
      <c r="L3" s="3">
        <f t="shared" ref="L3:L66" si="0">H3*I3</f>
        <v>21078.59</v>
      </c>
      <c r="M3" s="4" t="str">
        <f t="shared" ref="M3:M66" si="1">IF(L3&gt;10000,"High",IF(L3&lt;5000,"Low","Medium"))</f>
        <v>High</v>
      </c>
      <c r="N3" s="6">
        <f t="shared" ref="N3:N66" si="2">(J3/L3)*100</f>
        <v>19.116885901760984</v>
      </c>
    </row>
    <row r="4" spans="1:14" x14ac:dyDescent="0.35">
      <c r="A4" s="5" t="s">
        <v>25</v>
      </c>
      <c r="B4" s="3" t="s">
        <v>26</v>
      </c>
      <c r="C4" s="3" t="s">
        <v>16</v>
      </c>
      <c r="D4" s="3" t="s">
        <v>27</v>
      </c>
      <c r="E4" s="3">
        <v>9483465530</v>
      </c>
      <c r="F4" s="3" t="s">
        <v>18</v>
      </c>
      <c r="G4" s="3" t="s">
        <v>28</v>
      </c>
      <c r="H4" s="3">
        <v>1363.73</v>
      </c>
      <c r="I4" s="3">
        <v>1</v>
      </c>
      <c r="J4" s="3">
        <v>362.2</v>
      </c>
      <c r="K4" s="3" t="s">
        <v>24</v>
      </c>
      <c r="L4" s="3">
        <f t="shared" si="0"/>
        <v>1363.73</v>
      </c>
      <c r="M4" s="4" t="str">
        <f t="shared" si="1"/>
        <v>Low</v>
      </c>
      <c r="N4" s="6">
        <f t="shared" si="2"/>
        <v>26.559509580342151</v>
      </c>
    </row>
    <row r="5" spans="1:14" x14ac:dyDescent="0.35">
      <c r="A5" s="5" t="s">
        <v>29</v>
      </c>
      <c r="B5" s="3" t="s">
        <v>26</v>
      </c>
      <c r="C5" s="3" t="s">
        <v>16</v>
      </c>
      <c r="D5" s="3" t="s">
        <v>27</v>
      </c>
      <c r="E5" s="3">
        <v>9350165589</v>
      </c>
      <c r="F5" s="3" t="s">
        <v>22</v>
      </c>
      <c r="G5" s="3" t="s">
        <v>30</v>
      </c>
      <c r="H5" s="3">
        <v>1172.93</v>
      </c>
      <c r="I5" s="3">
        <v>5</v>
      </c>
      <c r="J5" s="3">
        <v>1542.65</v>
      </c>
      <c r="K5" s="3" t="s">
        <v>31</v>
      </c>
      <c r="L5" s="3">
        <f t="shared" si="0"/>
        <v>5864.6500000000005</v>
      </c>
      <c r="M5" s="4" t="str">
        <f t="shared" si="1"/>
        <v>Medium</v>
      </c>
      <c r="N5" s="6">
        <f t="shared" si="2"/>
        <v>26.304212527601816</v>
      </c>
    </row>
    <row r="6" spans="1:14" x14ac:dyDescent="0.35">
      <c r="A6" s="5" t="s">
        <v>32</v>
      </c>
      <c r="B6" s="3" t="s">
        <v>26</v>
      </c>
      <c r="C6" s="3" t="s">
        <v>16</v>
      </c>
      <c r="D6" s="3" t="s">
        <v>17</v>
      </c>
      <c r="E6" s="3">
        <v>9621991901</v>
      </c>
      <c r="F6" s="3" t="s">
        <v>18</v>
      </c>
      <c r="G6" s="3" t="s">
        <v>33</v>
      </c>
      <c r="H6" s="3">
        <v>2457.56</v>
      </c>
      <c r="I6" s="3">
        <v>13</v>
      </c>
      <c r="J6" s="3">
        <v>6972.71</v>
      </c>
      <c r="K6" s="3" t="s">
        <v>20</v>
      </c>
      <c r="L6" s="3">
        <f t="shared" si="0"/>
        <v>31948.28</v>
      </c>
      <c r="M6" s="4" t="str">
        <f t="shared" si="1"/>
        <v>High</v>
      </c>
      <c r="N6" s="6">
        <f t="shared" si="2"/>
        <v>21.8249933955756</v>
      </c>
    </row>
    <row r="7" spans="1:14" x14ac:dyDescent="0.35">
      <c r="A7" s="5" t="s">
        <v>34</v>
      </c>
      <c r="B7" s="3" t="s">
        <v>26</v>
      </c>
      <c r="C7" s="3" t="s">
        <v>16</v>
      </c>
      <c r="D7" s="3" t="s">
        <v>27</v>
      </c>
      <c r="E7" s="3">
        <v>9734105442</v>
      </c>
      <c r="F7" s="3" t="s">
        <v>18</v>
      </c>
      <c r="G7" s="3" t="s">
        <v>35</v>
      </c>
      <c r="H7" s="3">
        <v>2661.44</v>
      </c>
      <c r="I7" s="3">
        <v>7</v>
      </c>
      <c r="J7" s="3">
        <v>2581.67</v>
      </c>
      <c r="K7" s="3" t="s">
        <v>24</v>
      </c>
      <c r="L7" s="3">
        <f t="shared" si="0"/>
        <v>18630.080000000002</v>
      </c>
      <c r="M7" s="4" t="str">
        <f t="shared" si="1"/>
        <v>High</v>
      </c>
      <c r="N7" s="6">
        <f t="shared" si="2"/>
        <v>13.857535770109413</v>
      </c>
    </row>
    <row r="8" spans="1:14" x14ac:dyDescent="0.35">
      <c r="A8" s="5" t="s">
        <v>36</v>
      </c>
      <c r="B8" s="3" t="s">
        <v>37</v>
      </c>
      <c r="C8" s="3" t="s">
        <v>16</v>
      </c>
      <c r="D8" s="3" t="s">
        <v>38</v>
      </c>
      <c r="E8" s="3">
        <v>9117390999</v>
      </c>
      <c r="F8" s="3" t="s">
        <v>18</v>
      </c>
      <c r="G8" s="3" t="s">
        <v>28</v>
      </c>
      <c r="H8" s="3">
        <v>1400.82</v>
      </c>
      <c r="I8" s="3">
        <v>6</v>
      </c>
      <c r="J8" s="3">
        <v>994.44</v>
      </c>
      <c r="K8" s="3" t="s">
        <v>39</v>
      </c>
      <c r="L8" s="3">
        <f t="shared" si="0"/>
        <v>8404.92</v>
      </c>
      <c r="M8" s="4" t="str">
        <f t="shared" si="1"/>
        <v>Medium</v>
      </c>
      <c r="N8" s="6">
        <f t="shared" si="2"/>
        <v>11.831641467140676</v>
      </c>
    </row>
    <row r="9" spans="1:14" x14ac:dyDescent="0.35">
      <c r="A9" s="5" t="s">
        <v>40</v>
      </c>
      <c r="B9" s="3" t="s">
        <v>15</v>
      </c>
      <c r="C9" s="3" t="s">
        <v>16</v>
      </c>
      <c r="D9" s="3" t="s">
        <v>17</v>
      </c>
      <c r="E9" s="3">
        <v>9513032833</v>
      </c>
      <c r="F9" s="3" t="s">
        <v>22</v>
      </c>
      <c r="G9" s="3" t="s">
        <v>41</v>
      </c>
      <c r="H9" s="3">
        <v>416.18</v>
      </c>
      <c r="I9" s="3">
        <v>3</v>
      </c>
      <c r="J9" s="3">
        <v>327.88</v>
      </c>
      <c r="K9" s="3" t="s">
        <v>24</v>
      </c>
      <c r="L9" s="3">
        <f t="shared" si="0"/>
        <v>1248.54</v>
      </c>
      <c r="M9" s="4" t="str">
        <f t="shared" si="1"/>
        <v>Low</v>
      </c>
      <c r="N9" s="6">
        <f t="shared" si="2"/>
        <v>26.261072933185964</v>
      </c>
    </row>
    <row r="10" spans="1:14" x14ac:dyDescent="0.35">
      <c r="A10" s="5" t="s">
        <v>42</v>
      </c>
      <c r="B10" s="3" t="s">
        <v>26</v>
      </c>
      <c r="C10" s="3" t="s">
        <v>16</v>
      </c>
      <c r="D10" s="3" t="s">
        <v>43</v>
      </c>
      <c r="E10" s="3">
        <v>95543976868</v>
      </c>
      <c r="F10" s="3" t="s">
        <v>22</v>
      </c>
      <c r="G10" s="3" t="s">
        <v>41</v>
      </c>
      <c r="H10" s="3">
        <v>1290.47</v>
      </c>
      <c r="I10" s="3">
        <v>6</v>
      </c>
      <c r="J10" s="3">
        <v>1045.43</v>
      </c>
      <c r="K10" s="3" t="s">
        <v>24</v>
      </c>
      <c r="L10" s="3">
        <f t="shared" si="0"/>
        <v>7742.82</v>
      </c>
      <c r="M10" s="4" t="str">
        <f t="shared" si="1"/>
        <v>Medium</v>
      </c>
      <c r="N10" s="6">
        <f t="shared" si="2"/>
        <v>13.501928238032141</v>
      </c>
    </row>
    <row r="11" spans="1:14" x14ac:dyDescent="0.35">
      <c r="A11" s="5" t="s">
        <v>44</v>
      </c>
      <c r="B11" s="3" t="s">
        <v>15</v>
      </c>
      <c r="C11" s="3" t="s">
        <v>16</v>
      </c>
      <c r="D11" s="3" t="s">
        <v>45</v>
      </c>
      <c r="E11" s="3">
        <v>9866250123</v>
      </c>
      <c r="F11" s="3" t="s">
        <v>18</v>
      </c>
      <c r="G11" s="3" t="s">
        <v>28</v>
      </c>
      <c r="H11" s="3">
        <v>2519.94</v>
      </c>
      <c r="I11" s="3">
        <v>15</v>
      </c>
      <c r="J11" s="3">
        <v>11123.31</v>
      </c>
      <c r="K11" s="3" t="s">
        <v>31</v>
      </c>
      <c r="L11" s="3">
        <f t="shared" si="0"/>
        <v>37799.1</v>
      </c>
      <c r="M11" s="4" t="str">
        <f t="shared" si="1"/>
        <v>High</v>
      </c>
      <c r="N11" s="6">
        <f t="shared" si="2"/>
        <v>29.427446685238539</v>
      </c>
    </row>
    <row r="12" spans="1:14" x14ac:dyDescent="0.35">
      <c r="A12" s="5" t="s">
        <v>46</v>
      </c>
      <c r="B12" s="3" t="s">
        <v>26</v>
      </c>
      <c r="C12" s="3" t="s">
        <v>16</v>
      </c>
      <c r="D12" s="3" t="s">
        <v>47</v>
      </c>
      <c r="E12" s="3">
        <v>9884314044</v>
      </c>
      <c r="F12" s="3" t="s">
        <v>18</v>
      </c>
      <c r="G12" s="3" t="s">
        <v>28</v>
      </c>
      <c r="H12" s="3">
        <v>2814.97</v>
      </c>
      <c r="I12" s="3">
        <v>1</v>
      </c>
      <c r="J12" s="3">
        <v>716.15</v>
      </c>
      <c r="K12" s="3" t="s">
        <v>24</v>
      </c>
      <c r="L12" s="3">
        <f t="shared" si="0"/>
        <v>2814.97</v>
      </c>
      <c r="M12" s="4" t="str">
        <f t="shared" si="1"/>
        <v>Low</v>
      </c>
      <c r="N12" s="6">
        <f t="shared" si="2"/>
        <v>25.440768462896585</v>
      </c>
    </row>
    <row r="13" spans="1:14" x14ac:dyDescent="0.35">
      <c r="A13" s="5" t="s">
        <v>48</v>
      </c>
      <c r="B13" s="3" t="s">
        <v>37</v>
      </c>
      <c r="C13" s="3" t="s">
        <v>16</v>
      </c>
      <c r="D13" s="3" t="s">
        <v>27</v>
      </c>
      <c r="E13" s="3">
        <v>9192128284</v>
      </c>
      <c r="F13" s="3" t="s">
        <v>18</v>
      </c>
      <c r="G13" s="3" t="s">
        <v>33</v>
      </c>
      <c r="H13" s="3">
        <v>841.72</v>
      </c>
      <c r="I13" s="3">
        <v>13</v>
      </c>
      <c r="J13" s="3">
        <v>2130.1799999999998</v>
      </c>
      <c r="K13" s="3" t="s">
        <v>39</v>
      </c>
      <c r="L13" s="3">
        <f t="shared" si="0"/>
        <v>10942.36</v>
      </c>
      <c r="M13" s="4" t="str">
        <f t="shared" si="1"/>
        <v>High</v>
      </c>
      <c r="N13" s="6">
        <f t="shared" si="2"/>
        <v>19.467281281186143</v>
      </c>
    </row>
    <row r="14" spans="1:14" x14ac:dyDescent="0.35">
      <c r="A14" s="5" t="s">
        <v>49</v>
      </c>
      <c r="B14" s="3" t="s">
        <v>50</v>
      </c>
      <c r="C14" s="3" t="s">
        <v>16</v>
      </c>
      <c r="D14" s="3" t="s">
        <v>27</v>
      </c>
      <c r="E14" s="3">
        <v>9731590483</v>
      </c>
      <c r="F14" s="3" t="s">
        <v>51</v>
      </c>
      <c r="G14" s="3" t="s">
        <v>52</v>
      </c>
      <c r="H14" s="3">
        <v>1169.28</v>
      </c>
      <c r="I14" s="3">
        <v>2</v>
      </c>
      <c r="J14" s="3">
        <v>273.95</v>
      </c>
      <c r="K14" s="3" t="s">
        <v>20</v>
      </c>
      <c r="L14" s="3">
        <f t="shared" si="0"/>
        <v>2338.56</v>
      </c>
      <c r="M14" s="4" t="str">
        <f t="shared" si="1"/>
        <v>Low</v>
      </c>
      <c r="N14" s="6">
        <f t="shared" si="2"/>
        <v>11.714473864258347</v>
      </c>
    </row>
    <row r="15" spans="1:14" x14ac:dyDescent="0.35">
      <c r="A15" s="5" t="s">
        <v>53</v>
      </c>
      <c r="B15" s="3" t="s">
        <v>15</v>
      </c>
      <c r="C15" s="3" t="s">
        <v>16</v>
      </c>
      <c r="D15" s="3" t="s">
        <v>17</v>
      </c>
      <c r="E15" s="3">
        <v>9245312903</v>
      </c>
      <c r="F15" s="3" t="s">
        <v>22</v>
      </c>
      <c r="G15" s="3" t="s">
        <v>54</v>
      </c>
      <c r="H15" s="3">
        <v>2320.0300000000002</v>
      </c>
      <c r="I15" s="3">
        <v>3</v>
      </c>
      <c r="J15" s="3">
        <v>1260.55</v>
      </c>
      <c r="K15" s="3" t="s">
        <v>20</v>
      </c>
      <c r="L15" s="3">
        <f t="shared" si="0"/>
        <v>6960.09</v>
      </c>
      <c r="M15" s="4" t="str">
        <f t="shared" si="1"/>
        <v>Medium</v>
      </c>
      <c r="N15" s="6">
        <f t="shared" si="2"/>
        <v>18.111116379242219</v>
      </c>
    </row>
    <row r="16" spans="1:14" x14ac:dyDescent="0.35">
      <c r="A16" s="5" t="s">
        <v>55</v>
      </c>
      <c r="B16" s="3" t="s">
        <v>50</v>
      </c>
      <c r="C16" s="3" t="s">
        <v>16</v>
      </c>
      <c r="D16" s="3" t="s">
        <v>27</v>
      </c>
      <c r="E16" s="3">
        <v>9587137236</v>
      </c>
      <c r="F16" s="3" t="s">
        <v>18</v>
      </c>
      <c r="G16" s="3" t="s">
        <v>28</v>
      </c>
      <c r="H16" s="3">
        <v>1780.66</v>
      </c>
      <c r="I16" s="3">
        <v>11</v>
      </c>
      <c r="J16" s="3">
        <v>2826.93</v>
      </c>
      <c r="K16" s="3" t="s">
        <v>39</v>
      </c>
      <c r="L16" s="3">
        <f t="shared" si="0"/>
        <v>19587.260000000002</v>
      </c>
      <c r="M16" s="4" t="str">
        <f t="shared" si="1"/>
        <v>High</v>
      </c>
      <c r="N16" s="6">
        <f t="shared" si="2"/>
        <v>14.432493365585589</v>
      </c>
    </row>
    <row r="17" spans="1:14" x14ac:dyDescent="0.35">
      <c r="A17" s="5" t="s">
        <v>56</v>
      </c>
      <c r="B17" s="3" t="s">
        <v>50</v>
      </c>
      <c r="C17" s="3" t="s">
        <v>16</v>
      </c>
      <c r="D17" s="3" t="s">
        <v>38</v>
      </c>
      <c r="E17" s="3">
        <v>9161819590</v>
      </c>
      <c r="F17" s="3" t="s">
        <v>51</v>
      </c>
      <c r="G17" s="3" t="s">
        <v>57</v>
      </c>
      <c r="H17" s="3">
        <v>2672</v>
      </c>
      <c r="I17" s="3">
        <v>15</v>
      </c>
      <c r="J17" s="3">
        <v>4719.91</v>
      </c>
      <c r="K17" s="3" t="s">
        <v>31</v>
      </c>
      <c r="L17" s="3">
        <f t="shared" si="0"/>
        <v>40080</v>
      </c>
      <c r="M17" s="4" t="str">
        <f t="shared" si="1"/>
        <v>High</v>
      </c>
      <c r="N17" s="6">
        <f t="shared" si="2"/>
        <v>11.776222554890218</v>
      </c>
    </row>
    <row r="18" spans="1:14" x14ac:dyDescent="0.35">
      <c r="A18" s="5" t="s">
        <v>58</v>
      </c>
      <c r="B18" s="3" t="s">
        <v>26</v>
      </c>
      <c r="C18" s="3" t="s">
        <v>16</v>
      </c>
      <c r="D18" s="3" t="s">
        <v>27</v>
      </c>
      <c r="E18" s="3">
        <v>9551484924</v>
      </c>
      <c r="F18" s="3" t="s">
        <v>18</v>
      </c>
      <c r="G18" s="3" t="s">
        <v>59</v>
      </c>
      <c r="H18" s="3">
        <v>824.49</v>
      </c>
      <c r="I18" s="3">
        <v>9</v>
      </c>
      <c r="J18" s="3">
        <v>1403.14</v>
      </c>
      <c r="K18" s="3" t="s">
        <v>60</v>
      </c>
      <c r="L18" s="3">
        <f t="shared" si="0"/>
        <v>7420.41</v>
      </c>
      <c r="M18" s="4" t="str">
        <f t="shared" si="1"/>
        <v>Medium</v>
      </c>
      <c r="N18" s="6">
        <f t="shared" si="2"/>
        <v>18.909197739747537</v>
      </c>
    </row>
    <row r="19" spans="1:14" x14ac:dyDescent="0.35">
      <c r="A19" s="5" t="s">
        <v>61</v>
      </c>
      <c r="B19" s="3" t="s">
        <v>37</v>
      </c>
      <c r="C19" s="3" t="s">
        <v>16</v>
      </c>
      <c r="D19" s="3" t="s">
        <v>62</v>
      </c>
      <c r="E19" s="3">
        <v>91682255459</v>
      </c>
      <c r="F19" s="3" t="s">
        <v>51</v>
      </c>
      <c r="G19" s="3" t="s">
        <v>63</v>
      </c>
      <c r="H19" s="3">
        <v>2896.96</v>
      </c>
      <c r="I19" s="3">
        <v>7</v>
      </c>
      <c r="J19" s="3">
        <v>3528.3</v>
      </c>
      <c r="K19" s="3" t="s">
        <v>24</v>
      </c>
      <c r="L19" s="3">
        <f t="shared" si="0"/>
        <v>20278.72</v>
      </c>
      <c r="M19" s="4" t="str">
        <f t="shared" si="1"/>
        <v>High</v>
      </c>
      <c r="N19" s="6">
        <f t="shared" si="2"/>
        <v>17.399027157532625</v>
      </c>
    </row>
    <row r="20" spans="1:14" x14ac:dyDescent="0.35">
      <c r="A20" s="5" t="s">
        <v>64</v>
      </c>
      <c r="B20" s="3" t="s">
        <v>26</v>
      </c>
      <c r="C20" s="3" t="s">
        <v>16</v>
      </c>
      <c r="D20" s="3" t="s">
        <v>43</v>
      </c>
      <c r="E20" s="3">
        <v>9277023818</v>
      </c>
      <c r="F20" s="3" t="s">
        <v>51</v>
      </c>
      <c r="G20" s="3" t="s">
        <v>57</v>
      </c>
      <c r="H20" s="3">
        <v>1235.32</v>
      </c>
      <c r="I20" s="3">
        <v>9</v>
      </c>
      <c r="J20" s="3">
        <v>2542.0700000000002</v>
      </c>
      <c r="K20" s="3" t="s">
        <v>60</v>
      </c>
      <c r="L20" s="3">
        <f t="shared" si="0"/>
        <v>11117.88</v>
      </c>
      <c r="M20" s="4" t="str">
        <f t="shared" si="1"/>
        <v>High</v>
      </c>
      <c r="N20" s="6">
        <f t="shared" si="2"/>
        <v>22.864700824257866</v>
      </c>
    </row>
    <row r="21" spans="1:14" x14ac:dyDescent="0.35">
      <c r="A21" s="5" t="s">
        <v>65</v>
      </c>
      <c r="B21" s="3" t="s">
        <v>37</v>
      </c>
      <c r="C21" s="3" t="s">
        <v>16</v>
      </c>
      <c r="D21" s="3" t="s">
        <v>45</v>
      </c>
      <c r="E21" s="3">
        <v>9670448490</v>
      </c>
      <c r="F21" s="3" t="s">
        <v>22</v>
      </c>
      <c r="G21" s="3" t="s">
        <v>23</v>
      </c>
      <c r="H21" s="3">
        <v>2168.33</v>
      </c>
      <c r="I21" s="3">
        <v>3</v>
      </c>
      <c r="J21" s="3">
        <v>1394.93</v>
      </c>
      <c r="K21" s="3" t="s">
        <v>31</v>
      </c>
      <c r="L21" s="3">
        <f t="shared" si="0"/>
        <v>6504.99</v>
      </c>
      <c r="M21" s="4" t="str">
        <f t="shared" si="1"/>
        <v>Medium</v>
      </c>
      <c r="N21" s="6">
        <f t="shared" si="2"/>
        <v>21.443999145271555</v>
      </c>
    </row>
    <row r="22" spans="1:14" x14ac:dyDescent="0.35">
      <c r="A22" s="5" t="s">
        <v>66</v>
      </c>
      <c r="B22" s="3" t="s">
        <v>37</v>
      </c>
      <c r="C22" s="3" t="s">
        <v>16</v>
      </c>
      <c r="D22" s="3" t="s">
        <v>27</v>
      </c>
      <c r="E22" s="3">
        <v>9123788207</v>
      </c>
      <c r="F22" s="3" t="s">
        <v>18</v>
      </c>
      <c r="G22" s="3" t="s">
        <v>59</v>
      </c>
      <c r="H22" s="3">
        <v>2654.54</v>
      </c>
      <c r="I22" s="3">
        <v>5</v>
      </c>
      <c r="J22" s="3">
        <v>3308.52</v>
      </c>
      <c r="K22" s="3" t="s">
        <v>60</v>
      </c>
      <c r="L22" s="3">
        <f t="shared" si="0"/>
        <v>13272.7</v>
      </c>
      <c r="M22" s="4" t="str">
        <f t="shared" si="1"/>
        <v>High</v>
      </c>
      <c r="N22" s="6">
        <f t="shared" si="2"/>
        <v>24.92725669984253</v>
      </c>
    </row>
    <row r="23" spans="1:14" x14ac:dyDescent="0.35">
      <c r="A23" s="5" t="s">
        <v>67</v>
      </c>
      <c r="B23" s="3" t="s">
        <v>15</v>
      </c>
      <c r="C23" s="3" t="s">
        <v>16</v>
      </c>
      <c r="D23" s="3" t="s">
        <v>38</v>
      </c>
      <c r="E23" s="3">
        <v>99831923457</v>
      </c>
      <c r="F23" s="3" t="s">
        <v>51</v>
      </c>
      <c r="G23" s="3" t="s">
        <v>68</v>
      </c>
      <c r="H23" s="3">
        <v>1313.77</v>
      </c>
      <c r="I23" s="3">
        <v>7</v>
      </c>
      <c r="J23" s="3">
        <v>2435.5500000000002</v>
      </c>
      <c r="K23" s="3" t="s">
        <v>31</v>
      </c>
      <c r="L23" s="3">
        <f t="shared" si="0"/>
        <v>9196.39</v>
      </c>
      <c r="M23" s="4" t="str">
        <f t="shared" si="1"/>
        <v>Medium</v>
      </c>
      <c r="N23" s="6">
        <f t="shared" si="2"/>
        <v>26.483761562961121</v>
      </c>
    </row>
    <row r="24" spans="1:14" x14ac:dyDescent="0.35">
      <c r="A24" s="5" t="s">
        <v>69</v>
      </c>
      <c r="B24" s="3" t="s">
        <v>37</v>
      </c>
      <c r="C24" s="3" t="s">
        <v>16</v>
      </c>
      <c r="D24" s="3" t="s">
        <v>45</v>
      </c>
      <c r="E24" s="3">
        <v>9822358874</v>
      </c>
      <c r="F24" s="3" t="s">
        <v>51</v>
      </c>
      <c r="G24" s="3" t="s">
        <v>63</v>
      </c>
      <c r="H24" s="3">
        <v>1602.24</v>
      </c>
      <c r="I24" s="3">
        <v>13</v>
      </c>
      <c r="J24" s="3">
        <v>3082.85</v>
      </c>
      <c r="K24" s="3" t="s">
        <v>60</v>
      </c>
      <c r="L24" s="3">
        <f t="shared" si="0"/>
        <v>20829.12</v>
      </c>
      <c r="M24" s="4" t="str">
        <f t="shared" si="1"/>
        <v>High</v>
      </c>
      <c r="N24" s="6">
        <f t="shared" si="2"/>
        <v>14.8006732881658</v>
      </c>
    </row>
    <row r="25" spans="1:14" x14ac:dyDescent="0.35">
      <c r="A25" s="5" t="s">
        <v>70</v>
      </c>
      <c r="B25" s="3" t="s">
        <v>15</v>
      </c>
      <c r="C25" s="3" t="s">
        <v>16</v>
      </c>
      <c r="D25" s="3" t="s">
        <v>62</v>
      </c>
      <c r="E25" s="3">
        <v>9497595031</v>
      </c>
      <c r="F25" s="3" t="s">
        <v>22</v>
      </c>
      <c r="G25" s="3" t="s">
        <v>30</v>
      </c>
      <c r="H25" s="3">
        <v>592.33000000000004</v>
      </c>
      <c r="I25" s="3">
        <v>4</v>
      </c>
      <c r="J25" s="3">
        <v>539.64</v>
      </c>
      <c r="K25" s="3" t="s">
        <v>24</v>
      </c>
      <c r="L25" s="3">
        <f t="shared" si="0"/>
        <v>2369.3200000000002</v>
      </c>
      <c r="M25" s="4" t="str">
        <f t="shared" si="1"/>
        <v>Low</v>
      </c>
      <c r="N25" s="6">
        <f t="shared" si="2"/>
        <v>22.776155183765802</v>
      </c>
    </row>
    <row r="26" spans="1:14" x14ac:dyDescent="0.35">
      <c r="A26" s="5" t="s">
        <v>71</v>
      </c>
      <c r="B26" s="3" t="s">
        <v>26</v>
      </c>
      <c r="C26" s="3" t="s">
        <v>16</v>
      </c>
      <c r="D26" s="3" t="s">
        <v>47</v>
      </c>
      <c r="E26" s="3">
        <v>9781615192</v>
      </c>
      <c r="F26" s="3" t="s">
        <v>51</v>
      </c>
      <c r="G26" s="3" t="s">
        <v>57</v>
      </c>
      <c r="H26" s="3">
        <v>589.14</v>
      </c>
      <c r="I26" s="3">
        <v>8</v>
      </c>
      <c r="J26" s="3">
        <v>1252.56</v>
      </c>
      <c r="K26" s="3" t="s">
        <v>31</v>
      </c>
      <c r="L26" s="3">
        <f t="shared" si="0"/>
        <v>4713.12</v>
      </c>
      <c r="M26" s="4" t="str">
        <f t="shared" si="1"/>
        <v>Low</v>
      </c>
      <c r="N26" s="6">
        <f t="shared" si="2"/>
        <v>26.576026071901417</v>
      </c>
    </row>
    <row r="27" spans="1:14" x14ac:dyDescent="0.35">
      <c r="A27" s="5" t="s">
        <v>72</v>
      </c>
      <c r="B27" s="3" t="s">
        <v>50</v>
      </c>
      <c r="C27" s="3" t="s">
        <v>16</v>
      </c>
      <c r="D27" s="3" t="s">
        <v>62</v>
      </c>
      <c r="E27" s="3">
        <v>9310431691</v>
      </c>
      <c r="F27" s="3" t="s">
        <v>22</v>
      </c>
      <c r="G27" s="3" t="s">
        <v>41</v>
      </c>
      <c r="H27" s="3">
        <v>2354.6</v>
      </c>
      <c r="I27" s="3">
        <v>4</v>
      </c>
      <c r="J27" s="3">
        <v>2575.4299999999998</v>
      </c>
      <c r="K27" s="3" t="s">
        <v>20</v>
      </c>
      <c r="L27" s="3">
        <f t="shared" si="0"/>
        <v>9418.4</v>
      </c>
      <c r="M27" s="4" t="str">
        <f t="shared" si="1"/>
        <v>Medium</v>
      </c>
      <c r="N27" s="6">
        <f t="shared" si="2"/>
        <v>27.344665760638748</v>
      </c>
    </row>
    <row r="28" spans="1:14" x14ac:dyDescent="0.35">
      <c r="A28" s="5" t="s">
        <v>73</v>
      </c>
      <c r="B28" s="3" t="s">
        <v>37</v>
      </c>
      <c r="C28" s="3" t="s">
        <v>16</v>
      </c>
      <c r="D28" s="3" t="s">
        <v>62</v>
      </c>
      <c r="E28" s="3">
        <v>9375633062</v>
      </c>
      <c r="F28" s="3" t="s">
        <v>51</v>
      </c>
      <c r="G28" s="3" t="s">
        <v>74</v>
      </c>
      <c r="H28" s="3">
        <v>1920.55</v>
      </c>
      <c r="I28" s="3">
        <v>6</v>
      </c>
      <c r="J28" s="3">
        <v>2254.59</v>
      </c>
      <c r="K28" s="3" t="s">
        <v>20</v>
      </c>
      <c r="L28" s="3">
        <f t="shared" si="0"/>
        <v>11523.3</v>
      </c>
      <c r="M28" s="4" t="str">
        <f t="shared" si="1"/>
        <v>High</v>
      </c>
      <c r="N28" s="6">
        <f t="shared" si="2"/>
        <v>19.565489052615138</v>
      </c>
    </row>
    <row r="29" spans="1:14" x14ac:dyDescent="0.35">
      <c r="A29" s="5" t="s">
        <v>75</v>
      </c>
      <c r="B29" s="3" t="s">
        <v>37</v>
      </c>
      <c r="C29" s="3" t="s">
        <v>16</v>
      </c>
      <c r="D29" s="3" t="s">
        <v>27</v>
      </c>
      <c r="E29" s="3">
        <v>9958467371</v>
      </c>
      <c r="F29" s="3" t="s">
        <v>18</v>
      </c>
      <c r="G29" s="3" t="s">
        <v>35</v>
      </c>
      <c r="H29" s="3">
        <v>1086.4100000000001</v>
      </c>
      <c r="I29" s="3">
        <v>7</v>
      </c>
      <c r="J29" s="3">
        <v>2066.7600000000002</v>
      </c>
      <c r="K29" s="3" t="s">
        <v>20</v>
      </c>
      <c r="L29" s="3">
        <f t="shared" si="0"/>
        <v>7604.8700000000008</v>
      </c>
      <c r="M29" s="4" t="str">
        <f t="shared" si="1"/>
        <v>Medium</v>
      </c>
      <c r="N29" s="6">
        <f t="shared" si="2"/>
        <v>27.176795921560785</v>
      </c>
    </row>
    <row r="30" spans="1:14" x14ac:dyDescent="0.35">
      <c r="A30" s="5" t="s">
        <v>76</v>
      </c>
      <c r="B30" s="3" t="s">
        <v>37</v>
      </c>
      <c r="C30" s="3" t="s">
        <v>16</v>
      </c>
      <c r="D30" s="3" t="s">
        <v>27</v>
      </c>
      <c r="E30" s="3">
        <v>9485913642</v>
      </c>
      <c r="F30" s="3" t="s">
        <v>22</v>
      </c>
      <c r="G30" s="3" t="s">
        <v>54</v>
      </c>
      <c r="H30" s="3">
        <v>1181.07</v>
      </c>
      <c r="I30" s="3">
        <v>13</v>
      </c>
      <c r="J30" s="3">
        <v>3821.07</v>
      </c>
      <c r="K30" s="3" t="s">
        <v>31</v>
      </c>
      <c r="L30" s="3">
        <f t="shared" si="0"/>
        <v>15353.91</v>
      </c>
      <c r="M30" s="4" t="str">
        <f t="shared" si="1"/>
        <v>High</v>
      </c>
      <c r="N30" s="6">
        <f t="shared" si="2"/>
        <v>24.886624970447269</v>
      </c>
    </row>
    <row r="31" spans="1:14" x14ac:dyDescent="0.35">
      <c r="A31" s="5" t="s">
        <v>77</v>
      </c>
      <c r="B31" s="3" t="s">
        <v>37</v>
      </c>
      <c r="C31" s="3" t="s">
        <v>16</v>
      </c>
      <c r="D31" s="3" t="s">
        <v>62</v>
      </c>
      <c r="E31" s="3">
        <v>9942727052</v>
      </c>
      <c r="F31" s="3" t="s">
        <v>22</v>
      </c>
      <c r="G31" s="3" t="s">
        <v>78</v>
      </c>
      <c r="H31" s="3">
        <v>2521.1999999999998</v>
      </c>
      <c r="I31" s="3">
        <v>8</v>
      </c>
      <c r="J31" s="3">
        <v>6046.68</v>
      </c>
      <c r="K31" s="3" t="s">
        <v>20</v>
      </c>
      <c r="L31" s="3">
        <f t="shared" si="0"/>
        <v>20169.599999999999</v>
      </c>
      <c r="M31" s="4" t="str">
        <f t="shared" si="1"/>
        <v>High</v>
      </c>
      <c r="N31" s="6">
        <f t="shared" si="2"/>
        <v>29.979176582579726</v>
      </c>
    </row>
    <row r="32" spans="1:14" x14ac:dyDescent="0.35">
      <c r="A32" s="5" t="s">
        <v>79</v>
      </c>
      <c r="B32" s="3" t="s">
        <v>26</v>
      </c>
      <c r="C32" s="3" t="s">
        <v>16</v>
      </c>
      <c r="D32" s="3" t="s">
        <v>45</v>
      </c>
      <c r="E32" s="3">
        <v>9164209990</v>
      </c>
      <c r="F32" s="3" t="s">
        <v>18</v>
      </c>
      <c r="G32" s="3" t="s">
        <v>33</v>
      </c>
      <c r="H32" s="3">
        <v>1741.71</v>
      </c>
      <c r="I32" s="3">
        <v>15</v>
      </c>
      <c r="J32" s="3">
        <v>4026.14</v>
      </c>
      <c r="K32" s="3" t="s">
        <v>39</v>
      </c>
      <c r="L32" s="3">
        <f t="shared" si="0"/>
        <v>26125.65</v>
      </c>
      <c r="M32" s="4" t="str">
        <f t="shared" si="1"/>
        <v>High</v>
      </c>
      <c r="N32" s="6">
        <f t="shared" si="2"/>
        <v>15.410678777370132</v>
      </c>
    </row>
    <row r="33" spans="1:14" x14ac:dyDescent="0.35">
      <c r="A33" s="5" t="s">
        <v>80</v>
      </c>
      <c r="B33" s="3" t="s">
        <v>26</v>
      </c>
      <c r="C33" s="3" t="s">
        <v>16</v>
      </c>
      <c r="D33" s="3" t="s">
        <v>62</v>
      </c>
      <c r="E33" s="3">
        <v>9972130283</v>
      </c>
      <c r="F33" s="3" t="s">
        <v>22</v>
      </c>
      <c r="G33" s="3" t="s">
        <v>30</v>
      </c>
      <c r="H33" s="3">
        <v>1691.18</v>
      </c>
      <c r="I33" s="3">
        <v>9</v>
      </c>
      <c r="J33" s="3">
        <v>3286.83</v>
      </c>
      <c r="K33" s="3" t="s">
        <v>24</v>
      </c>
      <c r="L33" s="3">
        <f t="shared" si="0"/>
        <v>15220.62</v>
      </c>
      <c r="M33" s="4" t="str">
        <f t="shared" si="1"/>
        <v>High</v>
      </c>
      <c r="N33" s="6">
        <f t="shared" si="2"/>
        <v>21.594586817094179</v>
      </c>
    </row>
    <row r="34" spans="1:14" x14ac:dyDescent="0.35">
      <c r="A34" s="5" t="s">
        <v>81</v>
      </c>
      <c r="B34" s="3" t="s">
        <v>26</v>
      </c>
      <c r="C34" s="3" t="s">
        <v>16</v>
      </c>
      <c r="D34" s="3" t="s">
        <v>62</v>
      </c>
      <c r="E34" s="3">
        <v>9305312346</v>
      </c>
      <c r="F34" s="3" t="s">
        <v>18</v>
      </c>
      <c r="G34" s="3" t="s">
        <v>59</v>
      </c>
      <c r="H34" s="3">
        <v>2430.4899999999998</v>
      </c>
      <c r="I34" s="3">
        <v>1</v>
      </c>
      <c r="J34" s="3">
        <v>538.34</v>
      </c>
      <c r="K34" s="3" t="s">
        <v>60</v>
      </c>
      <c r="L34" s="3">
        <f t="shared" si="0"/>
        <v>2430.4899999999998</v>
      </c>
      <c r="M34" s="4" t="str">
        <f t="shared" si="1"/>
        <v>Low</v>
      </c>
      <c r="N34" s="6">
        <f t="shared" si="2"/>
        <v>22.14944311640863</v>
      </c>
    </row>
    <row r="35" spans="1:14" x14ac:dyDescent="0.35">
      <c r="A35" s="5" t="s">
        <v>82</v>
      </c>
      <c r="B35" s="3" t="s">
        <v>15</v>
      </c>
      <c r="C35" s="3" t="s">
        <v>16</v>
      </c>
      <c r="D35" s="3" t="s">
        <v>62</v>
      </c>
      <c r="E35" s="3">
        <v>9403336927</v>
      </c>
      <c r="F35" s="3" t="s">
        <v>18</v>
      </c>
      <c r="G35" s="3" t="s">
        <v>35</v>
      </c>
      <c r="H35" s="3">
        <v>1937.5</v>
      </c>
      <c r="I35" s="3">
        <v>10</v>
      </c>
      <c r="J35" s="3">
        <v>2548.08</v>
      </c>
      <c r="K35" s="3" t="s">
        <v>39</v>
      </c>
      <c r="L35" s="3">
        <f t="shared" si="0"/>
        <v>19375</v>
      </c>
      <c r="M35" s="4" t="str">
        <f t="shared" si="1"/>
        <v>High</v>
      </c>
      <c r="N35" s="6">
        <f t="shared" si="2"/>
        <v>13.151380645161289</v>
      </c>
    </row>
    <row r="36" spans="1:14" x14ac:dyDescent="0.35">
      <c r="A36" s="5" t="s">
        <v>83</v>
      </c>
      <c r="B36" s="3" t="s">
        <v>50</v>
      </c>
      <c r="C36" s="3" t="s">
        <v>16</v>
      </c>
      <c r="D36" s="3" t="s">
        <v>17</v>
      </c>
      <c r="E36" s="3">
        <v>9209432112</v>
      </c>
      <c r="F36" s="3" t="s">
        <v>18</v>
      </c>
      <c r="G36" s="3" t="s">
        <v>28</v>
      </c>
      <c r="H36" s="3">
        <v>2848.61</v>
      </c>
      <c r="I36" s="3">
        <v>15</v>
      </c>
      <c r="J36" s="3">
        <v>6188.69</v>
      </c>
      <c r="K36" s="3" t="s">
        <v>60</v>
      </c>
      <c r="L36" s="3">
        <f t="shared" si="0"/>
        <v>42729.15</v>
      </c>
      <c r="M36" s="4" t="str">
        <f t="shared" si="1"/>
        <v>High</v>
      </c>
      <c r="N36" s="6">
        <f t="shared" si="2"/>
        <v>14.483531734190827</v>
      </c>
    </row>
    <row r="37" spans="1:14" x14ac:dyDescent="0.35">
      <c r="A37" s="5" t="s">
        <v>84</v>
      </c>
      <c r="B37" s="3" t="s">
        <v>50</v>
      </c>
      <c r="C37" s="3" t="s">
        <v>16</v>
      </c>
      <c r="D37" s="3" t="s">
        <v>43</v>
      </c>
      <c r="E37" s="3">
        <v>92886736565</v>
      </c>
      <c r="F37" s="3" t="s">
        <v>22</v>
      </c>
      <c r="G37" s="3" t="s">
        <v>78</v>
      </c>
      <c r="H37" s="3">
        <v>537.01</v>
      </c>
      <c r="I37" s="3">
        <v>15</v>
      </c>
      <c r="J37" s="3">
        <v>848.33</v>
      </c>
      <c r="K37" s="3" t="s">
        <v>60</v>
      </c>
      <c r="L37" s="3">
        <f t="shared" si="0"/>
        <v>8055.15</v>
      </c>
      <c r="M37" s="4" t="str">
        <f t="shared" si="1"/>
        <v>Medium</v>
      </c>
      <c r="N37" s="6">
        <f t="shared" si="2"/>
        <v>10.531523311173597</v>
      </c>
    </row>
    <row r="38" spans="1:14" x14ac:dyDescent="0.35">
      <c r="A38" s="5" t="s">
        <v>85</v>
      </c>
      <c r="B38" s="3" t="s">
        <v>37</v>
      </c>
      <c r="C38" s="3" t="s">
        <v>16</v>
      </c>
      <c r="D38" s="3" t="s">
        <v>17</v>
      </c>
      <c r="E38" s="3">
        <v>9696039067</v>
      </c>
      <c r="F38" s="3" t="s">
        <v>22</v>
      </c>
      <c r="G38" s="3" t="s">
        <v>30</v>
      </c>
      <c r="H38" s="3">
        <v>2052.79</v>
      </c>
      <c r="I38" s="3">
        <v>1</v>
      </c>
      <c r="J38" s="3">
        <v>296.79000000000002</v>
      </c>
      <c r="K38" s="3" t="s">
        <v>24</v>
      </c>
      <c r="L38" s="3">
        <f t="shared" si="0"/>
        <v>2052.79</v>
      </c>
      <c r="M38" s="4" t="str">
        <f t="shared" si="1"/>
        <v>Low</v>
      </c>
      <c r="N38" s="6">
        <f t="shared" si="2"/>
        <v>14.457884147915765</v>
      </c>
    </row>
    <row r="39" spans="1:14" x14ac:dyDescent="0.35">
      <c r="A39" s="5" t="s">
        <v>86</v>
      </c>
      <c r="B39" s="3" t="s">
        <v>37</v>
      </c>
      <c r="C39" s="3" t="s">
        <v>16</v>
      </c>
      <c r="D39" s="3" t="s">
        <v>43</v>
      </c>
      <c r="E39" s="3">
        <v>9729755086</v>
      </c>
      <c r="F39" s="3" t="s">
        <v>18</v>
      </c>
      <c r="G39" s="3" t="s">
        <v>59</v>
      </c>
      <c r="H39" s="3">
        <v>1708.1</v>
      </c>
      <c r="I39" s="3">
        <v>3</v>
      </c>
      <c r="J39" s="3">
        <v>897.22</v>
      </c>
      <c r="K39" s="3" t="s">
        <v>20</v>
      </c>
      <c r="L39" s="3">
        <f t="shared" si="0"/>
        <v>5124.2999999999993</v>
      </c>
      <c r="M39" s="4" t="str">
        <f t="shared" si="1"/>
        <v>Medium</v>
      </c>
      <c r="N39" s="6">
        <f t="shared" si="2"/>
        <v>17.509123197314757</v>
      </c>
    </row>
    <row r="40" spans="1:14" x14ac:dyDescent="0.35">
      <c r="A40" s="5" t="s">
        <v>87</v>
      </c>
      <c r="B40" s="3" t="s">
        <v>37</v>
      </c>
      <c r="C40" s="3" t="s">
        <v>16</v>
      </c>
      <c r="D40" s="3" t="s">
        <v>62</v>
      </c>
      <c r="E40" s="3">
        <v>9291717779</v>
      </c>
      <c r="F40" s="3" t="s">
        <v>51</v>
      </c>
      <c r="G40" s="3" t="s">
        <v>63</v>
      </c>
      <c r="H40" s="3">
        <v>1616.55</v>
      </c>
      <c r="I40" s="3">
        <v>14</v>
      </c>
      <c r="J40" s="3">
        <v>6621.29</v>
      </c>
      <c r="K40" s="3" t="s">
        <v>20</v>
      </c>
      <c r="L40" s="3">
        <f t="shared" si="0"/>
        <v>22631.7</v>
      </c>
      <c r="M40" s="4" t="str">
        <f t="shared" si="1"/>
        <v>High</v>
      </c>
      <c r="N40" s="6">
        <f t="shared" si="2"/>
        <v>29.256706301338387</v>
      </c>
    </row>
    <row r="41" spans="1:14" x14ac:dyDescent="0.35">
      <c r="A41" s="5" t="s">
        <v>88</v>
      </c>
      <c r="B41" s="3" t="s">
        <v>37</v>
      </c>
      <c r="C41" s="3" t="s">
        <v>16</v>
      </c>
      <c r="D41" s="3" t="s">
        <v>17</v>
      </c>
      <c r="E41" s="3">
        <v>9596984707</v>
      </c>
      <c r="F41" s="3" t="s">
        <v>18</v>
      </c>
      <c r="G41" s="3" t="s">
        <v>33</v>
      </c>
      <c r="H41" s="3">
        <v>1774.62</v>
      </c>
      <c r="I41" s="3">
        <v>7</v>
      </c>
      <c r="J41" s="3">
        <v>3378.16</v>
      </c>
      <c r="K41" s="3" t="s">
        <v>20</v>
      </c>
      <c r="L41" s="3">
        <f t="shared" si="0"/>
        <v>12422.34</v>
      </c>
      <c r="M41" s="4" t="str">
        <f t="shared" si="1"/>
        <v>High</v>
      </c>
      <c r="N41" s="6">
        <f t="shared" si="2"/>
        <v>27.194232326598687</v>
      </c>
    </row>
    <row r="42" spans="1:14" x14ac:dyDescent="0.35">
      <c r="A42" s="5" t="s">
        <v>89</v>
      </c>
      <c r="B42" s="3" t="s">
        <v>26</v>
      </c>
      <c r="C42" s="3" t="s">
        <v>16</v>
      </c>
      <c r="D42" s="3" t="s">
        <v>45</v>
      </c>
      <c r="E42" s="3">
        <v>9621477109</v>
      </c>
      <c r="F42" s="3" t="s">
        <v>51</v>
      </c>
      <c r="G42" s="3" t="s">
        <v>74</v>
      </c>
      <c r="H42" s="3">
        <v>644.14</v>
      </c>
      <c r="I42" s="3">
        <v>12</v>
      </c>
      <c r="J42" s="3">
        <v>988.52</v>
      </c>
      <c r="K42" s="3" t="s">
        <v>31</v>
      </c>
      <c r="L42" s="3">
        <f t="shared" si="0"/>
        <v>7729.68</v>
      </c>
      <c r="M42" s="4" t="str">
        <f t="shared" si="1"/>
        <v>Medium</v>
      </c>
      <c r="N42" s="6">
        <f t="shared" si="2"/>
        <v>12.788627731031553</v>
      </c>
    </row>
    <row r="43" spans="1:14" x14ac:dyDescent="0.35">
      <c r="A43" s="5" t="s">
        <v>90</v>
      </c>
      <c r="B43" s="3" t="s">
        <v>26</v>
      </c>
      <c r="C43" s="3" t="s">
        <v>16</v>
      </c>
      <c r="D43" s="3" t="s">
        <v>27</v>
      </c>
      <c r="E43" s="3">
        <v>9813614929</v>
      </c>
      <c r="F43" s="3" t="s">
        <v>22</v>
      </c>
      <c r="G43" s="3" t="s">
        <v>30</v>
      </c>
      <c r="H43" s="3">
        <v>1767.47</v>
      </c>
      <c r="I43" s="3">
        <v>13</v>
      </c>
      <c r="J43" s="3">
        <v>3353.4</v>
      </c>
      <c r="K43" s="3" t="s">
        <v>39</v>
      </c>
      <c r="L43" s="3">
        <f t="shared" si="0"/>
        <v>22977.11</v>
      </c>
      <c r="M43" s="4" t="str">
        <f t="shared" si="1"/>
        <v>High</v>
      </c>
      <c r="N43" s="6">
        <f t="shared" si="2"/>
        <v>14.594524724823966</v>
      </c>
    </row>
    <row r="44" spans="1:14" x14ac:dyDescent="0.35">
      <c r="A44" s="5" t="s">
        <v>91</v>
      </c>
      <c r="B44" s="3" t="s">
        <v>37</v>
      </c>
      <c r="C44" s="3" t="s">
        <v>16</v>
      </c>
      <c r="D44" s="3" t="s">
        <v>38</v>
      </c>
      <c r="E44" s="3">
        <v>9314930259</v>
      </c>
      <c r="F44" s="3" t="s">
        <v>18</v>
      </c>
      <c r="G44" s="3" t="s">
        <v>35</v>
      </c>
      <c r="H44" s="3">
        <v>2506.6</v>
      </c>
      <c r="I44" s="3">
        <v>11</v>
      </c>
      <c r="J44" s="3">
        <v>8011.16</v>
      </c>
      <c r="K44" s="3" t="s">
        <v>39</v>
      </c>
      <c r="L44" s="3">
        <f t="shared" si="0"/>
        <v>27572.6</v>
      </c>
      <c r="M44" s="4" t="str">
        <f t="shared" si="1"/>
        <v>High</v>
      </c>
      <c r="N44" s="6">
        <f t="shared" si="2"/>
        <v>29.05478627332932</v>
      </c>
    </row>
    <row r="45" spans="1:14" x14ac:dyDescent="0.35">
      <c r="A45" s="5" t="s">
        <v>92</v>
      </c>
      <c r="B45" s="3" t="s">
        <v>15</v>
      </c>
      <c r="C45" s="3" t="s">
        <v>16</v>
      </c>
      <c r="D45" s="3" t="s">
        <v>27</v>
      </c>
      <c r="E45" s="3">
        <v>93262535688</v>
      </c>
      <c r="F45" s="3" t="s">
        <v>51</v>
      </c>
      <c r="G45" s="3" t="s">
        <v>52</v>
      </c>
      <c r="H45" s="3">
        <v>727.87</v>
      </c>
      <c r="I45" s="3">
        <v>2</v>
      </c>
      <c r="J45" s="3">
        <v>385.93</v>
      </c>
      <c r="K45" s="3" t="s">
        <v>20</v>
      </c>
      <c r="L45" s="3">
        <f t="shared" si="0"/>
        <v>1455.74</v>
      </c>
      <c r="M45" s="4" t="str">
        <f t="shared" si="1"/>
        <v>Low</v>
      </c>
      <c r="N45" s="6">
        <f t="shared" si="2"/>
        <v>26.510915410718951</v>
      </c>
    </row>
    <row r="46" spans="1:14" x14ac:dyDescent="0.35">
      <c r="A46" s="5" t="s">
        <v>93</v>
      </c>
      <c r="B46" s="3" t="s">
        <v>15</v>
      </c>
      <c r="C46" s="3" t="s">
        <v>16</v>
      </c>
      <c r="D46" s="3" t="s">
        <v>62</v>
      </c>
      <c r="E46" s="3">
        <v>9922473225</v>
      </c>
      <c r="F46" s="3" t="s">
        <v>22</v>
      </c>
      <c r="G46" s="3" t="s">
        <v>30</v>
      </c>
      <c r="H46" s="3">
        <v>2509.39</v>
      </c>
      <c r="I46" s="3">
        <v>4</v>
      </c>
      <c r="J46" s="3">
        <v>2607.48</v>
      </c>
      <c r="K46" s="3" t="s">
        <v>20</v>
      </c>
      <c r="L46" s="3">
        <f t="shared" si="0"/>
        <v>10037.56</v>
      </c>
      <c r="M46" s="4" t="str">
        <f t="shared" si="1"/>
        <v>High</v>
      </c>
      <c r="N46" s="6">
        <f t="shared" si="2"/>
        <v>25.977229525900718</v>
      </c>
    </row>
    <row r="47" spans="1:14" x14ac:dyDescent="0.35">
      <c r="A47" s="5" t="s">
        <v>94</v>
      </c>
      <c r="B47" s="3" t="s">
        <v>50</v>
      </c>
      <c r="C47" s="3" t="s">
        <v>16</v>
      </c>
      <c r="D47" s="3" t="s">
        <v>47</v>
      </c>
      <c r="E47" s="3">
        <v>9435049619</v>
      </c>
      <c r="F47" s="3" t="s">
        <v>51</v>
      </c>
      <c r="G47" s="3" t="s">
        <v>57</v>
      </c>
      <c r="H47" s="3">
        <v>254.27</v>
      </c>
      <c r="I47" s="3">
        <v>5</v>
      </c>
      <c r="J47" s="3">
        <v>247.89</v>
      </c>
      <c r="K47" s="3" t="s">
        <v>24</v>
      </c>
      <c r="L47" s="3">
        <f t="shared" si="0"/>
        <v>1271.3500000000001</v>
      </c>
      <c r="M47" s="4" t="str">
        <f t="shared" si="1"/>
        <v>Low</v>
      </c>
      <c r="N47" s="6">
        <f t="shared" si="2"/>
        <v>19.498171235301054</v>
      </c>
    </row>
    <row r="48" spans="1:14" x14ac:dyDescent="0.35">
      <c r="A48" s="5" t="s">
        <v>95</v>
      </c>
      <c r="B48" s="3" t="s">
        <v>37</v>
      </c>
      <c r="C48" s="3" t="s">
        <v>16</v>
      </c>
      <c r="D48" s="3" t="s">
        <v>62</v>
      </c>
      <c r="E48" s="3">
        <v>9139717689</v>
      </c>
      <c r="F48" s="3" t="s">
        <v>51</v>
      </c>
      <c r="G48" s="3" t="s">
        <v>52</v>
      </c>
      <c r="H48" s="3">
        <v>1104.23</v>
      </c>
      <c r="I48" s="3">
        <v>11</v>
      </c>
      <c r="J48" s="3">
        <v>1883.37</v>
      </c>
      <c r="K48" s="3" t="s">
        <v>20</v>
      </c>
      <c r="L48" s="3">
        <f t="shared" si="0"/>
        <v>12146.53</v>
      </c>
      <c r="M48" s="4" t="str">
        <f t="shared" si="1"/>
        <v>High</v>
      </c>
      <c r="N48" s="6">
        <f t="shared" si="2"/>
        <v>15.50541595006969</v>
      </c>
    </row>
    <row r="49" spans="1:14" x14ac:dyDescent="0.35">
      <c r="A49" s="5" t="s">
        <v>96</v>
      </c>
      <c r="B49" s="3" t="s">
        <v>26</v>
      </c>
      <c r="C49" s="3" t="s">
        <v>16</v>
      </c>
      <c r="D49" s="3" t="s">
        <v>27</v>
      </c>
      <c r="E49" s="3">
        <v>9873282041</v>
      </c>
      <c r="F49" s="3" t="s">
        <v>51</v>
      </c>
      <c r="G49" s="3" t="s">
        <v>68</v>
      </c>
      <c r="H49" s="3">
        <v>861.53</v>
      </c>
      <c r="I49" s="3">
        <v>3</v>
      </c>
      <c r="J49" s="3">
        <v>482.01</v>
      </c>
      <c r="K49" s="3" t="s">
        <v>60</v>
      </c>
      <c r="L49" s="3">
        <f t="shared" si="0"/>
        <v>2584.59</v>
      </c>
      <c r="M49" s="4" t="str">
        <f t="shared" si="1"/>
        <v>Low</v>
      </c>
      <c r="N49" s="6">
        <f t="shared" si="2"/>
        <v>18.649379592120994</v>
      </c>
    </row>
    <row r="50" spans="1:14" x14ac:dyDescent="0.35">
      <c r="A50" s="5" t="s">
        <v>97</v>
      </c>
      <c r="B50" s="3" t="s">
        <v>50</v>
      </c>
      <c r="C50" s="3" t="s">
        <v>16</v>
      </c>
      <c r="D50" s="3" t="s">
        <v>27</v>
      </c>
      <c r="E50" s="3">
        <v>9520705759</v>
      </c>
      <c r="F50" s="3" t="s">
        <v>18</v>
      </c>
      <c r="G50" s="3" t="s">
        <v>28</v>
      </c>
      <c r="H50" s="3">
        <v>940.76</v>
      </c>
      <c r="I50" s="3">
        <v>4</v>
      </c>
      <c r="J50" s="3">
        <v>842.47</v>
      </c>
      <c r="K50" s="3" t="s">
        <v>60</v>
      </c>
      <c r="L50" s="3">
        <f t="shared" si="0"/>
        <v>3763.04</v>
      </c>
      <c r="M50" s="4" t="str">
        <f t="shared" si="1"/>
        <v>Low</v>
      </c>
      <c r="N50" s="6">
        <f t="shared" si="2"/>
        <v>22.38801607211191</v>
      </c>
    </row>
    <row r="51" spans="1:14" x14ac:dyDescent="0.35">
      <c r="A51" s="5" t="s">
        <v>98</v>
      </c>
      <c r="B51" s="3" t="s">
        <v>37</v>
      </c>
      <c r="C51" s="3" t="s">
        <v>16</v>
      </c>
      <c r="D51" s="3" t="s">
        <v>27</v>
      </c>
      <c r="E51" s="3">
        <v>9648648568</v>
      </c>
      <c r="F51" s="3" t="s">
        <v>18</v>
      </c>
      <c r="G51" s="3" t="s">
        <v>28</v>
      </c>
      <c r="H51" s="3">
        <v>1505.5</v>
      </c>
      <c r="I51" s="3">
        <v>11</v>
      </c>
      <c r="J51" s="3">
        <v>3985.19</v>
      </c>
      <c r="K51" s="3" t="s">
        <v>60</v>
      </c>
      <c r="L51" s="3">
        <f t="shared" si="0"/>
        <v>16560.5</v>
      </c>
      <c r="M51" s="4" t="str">
        <f t="shared" si="1"/>
        <v>High</v>
      </c>
      <c r="N51" s="6">
        <f t="shared" si="2"/>
        <v>24.064430421786781</v>
      </c>
    </row>
    <row r="52" spans="1:14" x14ac:dyDescent="0.35">
      <c r="A52" s="5" t="s">
        <v>99</v>
      </c>
      <c r="B52" s="3" t="s">
        <v>15</v>
      </c>
      <c r="C52" s="3" t="s">
        <v>16</v>
      </c>
      <c r="D52" s="3" t="s">
        <v>62</v>
      </c>
      <c r="E52" s="3">
        <v>9416435713</v>
      </c>
      <c r="F52" s="3" t="s">
        <v>18</v>
      </c>
      <c r="G52" s="3" t="s">
        <v>33</v>
      </c>
      <c r="H52" s="3">
        <v>1477.49</v>
      </c>
      <c r="I52" s="3">
        <v>11</v>
      </c>
      <c r="J52" s="3">
        <v>2428.98</v>
      </c>
      <c r="K52" s="3" t="s">
        <v>20</v>
      </c>
      <c r="L52" s="3">
        <f t="shared" si="0"/>
        <v>16252.39</v>
      </c>
      <c r="M52" s="4" t="str">
        <f t="shared" si="1"/>
        <v>High</v>
      </c>
      <c r="N52" s="6">
        <f t="shared" si="2"/>
        <v>14.945371111571898</v>
      </c>
    </row>
    <row r="53" spans="1:14" x14ac:dyDescent="0.35">
      <c r="A53" s="5" t="s">
        <v>100</v>
      </c>
      <c r="B53" s="3" t="s">
        <v>37</v>
      </c>
      <c r="C53" s="3" t="s">
        <v>16</v>
      </c>
      <c r="D53" s="3" t="s">
        <v>47</v>
      </c>
      <c r="E53" s="3">
        <v>9211381294</v>
      </c>
      <c r="F53" s="3" t="s">
        <v>22</v>
      </c>
      <c r="G53" s="3" t="s">
        <v>41</v>
      </c>
      <c r="H53" s="3">
        <v>704.64</v>
      </c>
      <c r="I53" s="3">
        <v>2</v>
      </c>
      <c r="J53" s="3">
        <v>163.57</v>
      </c>
      <c r="K53" s="3" t="s">
        <v>39</v>
      </c>
      <c r="L53" s="3">
        <f t="shared" si="0"/>
        <v>1409.28</v>
      </c>
      <c r="M53" s="4" t="str">
        <f t="shared" si="1"/>
        <v>Low</v>
      </c>
      <c r="N53" s="6">
        <f t="shared" si="2"/>
        <v>11.606636012715713</v>
      </c>
    </row>
    <row r="54" spans="1:14" x14ac:dyDescent="0.35">
      <c r="A54" s="5" t="s">
        <v>101</v>
      </c>
      <c r="B54" s="3" t="s">
        <v>50</v>
      </c>
      <c r="C54" s="3" t="s">
        <v>16</v>
      </c>
      <c r="D54" s="3" t="s">
        <v>27</v>
      </c>
      <c r="E54" s="3">
        <v>9791244114</v>
      </c>
      <c r="F54" s="3" t="s">
        <v>22</v>
      </c>
      <c r="G54" s="3" t="s">
        <v>78</v>
      </c>
      <c r="H54" s="3">
        <v>2030.2</v>
      </c>
      <c r="I54" s="3">
        <v>13</v>
      </c>
      <c r="J54" s="3">
        <v>3695.03</v>
      </c>
      <c r="K54" s="3" t="s">
        <v>24</v>
      </c>
      <c r="L54" s="3">
        <f t="shared" si="0"/>
        <v>26392.600000000002</v>
      </c>
      <c r="M54" s="4" t="str">
        <f t="shared" si="1"/>
        <v>High</v>
      </c>
      <c r="N54" s="6">
        <f t="shared" si="2"/>
        <v>14.000250070095404</v>
      </c>
    </row>
    <row r="55" spans="1:14" x14ac:dyDescent="0.35">
      <c r="A55" s="5" t="s">
        <v>102</v>
      </c>
      <c r="B55" s="3" t="s">
        <v>15</v>
      </c>
      <c r="C55" s="3" t="s">
        <v>16</v>
      </c>
      <c r="D55" s="3" t="s">
        <v>47</v>
      </c>
      <c r="E55" s="3">
        <v>9194670146</v>
      </c>
      <c r="F55" s="3" t="s">
        <v>18</v>
      </c>
      <c r="G55" s="3" t="s">
        <v>19</v>
      </c>
      <c r="H55" s="3">
        <v>1822.28</v>
      </c>
      <c r="I55" s="3">
        <v>4</v>
      </c>
      <c r="J55" s="3">
        <v>1973.2</v>
      </c>
      <c r="K55" s="3" t="s">
        <v>31</v>
      </c>
      <c r="L55" s="3">
        <f t="shared" si="0"/>
        <v>7289.12</v>
      </c>
      <c r="M55" s="4" t="str">
        <f t="shared" si="1"/>
        <v>Medium</v>
      </c>
      <c r="N55" s="6">
        <f t="shared" si="2"/>
        <v>27.070483131022677</v>
      </c>
    </row>
    <row r="56" spans="1:14" x14ac:dyDescent="0.35">
      <c r="A56" s="5" t="s">
        <v>103</v>
      </c>
      <c r="B56" s="3" t="s">
        <v>50</v>
      </c>
      <c r="C56" s="3" t="s">
        <v>16</v>
      </c>
      <c r="D56" s="3" t="s">
        <v>43</v>
      </c>
      <c r="E56" s="3">
        <v>9519275644</v>
      </c>
      <c r="F56" s="3" t="s">
        <v>22</v>
      </c>
      <c r="G56" s="3" t="s">
        <v>30</v>
      </c>
      <c r="H56" s="3">
        <v>600.17999999999995</v>
      </c>
      <c r="I56" s="3">
        <v>11</v>
      </c>
      <c r="J56" s="3">
        <v>1525.57</v>
      </c>
      <c r="K56" s="3" t="s">
        <v>20</v>
      </c>
      <c r="L56" s="3">
        <f t="shared" si="0"/>
        <v>6601.98</v>
      </c>
      <c r="M56" s="4" t="str">
        <f t="shared" si="1"/>
        <v>Medium</v>
      </c>
      <c r="N56" s="6">
        <f t="shared" si="2"/>
        <v>23.107764640304879</v>
      </c>
    </row>
    <row r="57" spans="1:14" x14ac:dyDescent="0.35">
      <c r="A57" s="5" t="s">
        <v>104</v>
      </c>
      <c r="B57" s="3" t="s">
        <v>26</v>
      </c>
      <c r="C57" s="3" t="s">
        <v>16</v>
      </c>
      <c r="D57" s="3" t="s">
        <v>43</v>
      </c>
      <c r="E57" s="3">
        <v>9520013561</v>
      </c>
      <c r="F57" s="3" t="s">
        <v>18</v>
      </c>
      <c r="G57" s="3" t="s">
        <v>28</v>
      </c>
      <c r="H57" s="3">
        <v>2330.36</v>
      </c>
      <c r="I57" s="3">
        <v>7</v>
      </c>
      <c r="J57" s="3">
        <v>3532.26</v>
      </c>
      <c r="K57" s="3" t="s">
        <v>60</v>
      </c>
      <c r="L57" s="3">
        <f t="shared" si="0"/>
        <v>16312.52</v>
      </c>
      <c r="M57" s="4" t="str">
        <f t="shared" si="1"/>
        <v>High</v>
      </c>
      <c r="N57" s="6">
        <f t="shared" si="2"/>
        <v>21.653674600858729</v>
      </c>
    </row>
    <row r="58" spans="1:14" x14ac:dyDescent="0.35">
      <c r="A58" s="5" t="s">
        <v>105</v>
      </c>
      <c r="B58" s="3" t="s">
        <v>50</v>
      </c>
      <c r="C58" s="3" t="s">
        <v>16</v>
      </c>
      <c r="D58" s="3" t="s">
        <v>45</v>
      </c>
      <c r="E58" s="3">
        <v>95989895092</v>
      </c>
      <c r="F58" s="3" t="s">
        <v>51</v>
      </c>
      <c r="G58" s="3" t="s">
        <v>63</v>
      </c>
      <c r="H58" s="3">
        <v>1084.67</v>
      </c>
      <c r="I58" s="3">
        <v>13</v>
      </c>
      <c r="J58" s="3">
        <v>4140.1400000000003</v>
      </c>
      <c r="K58" s="3" t="s">
        <v>31</v>
      </c>
      <c r="L58" s="3">
        <f t="shared" si="0"/>
        <v>14100.710000000001</v>
      </c>
      <c r="M58" s="4" t="str">
        <f t="shared" si="1"/>
        <v>High</v>
      </c>
      <c r="N58" s="6">
        <f t="shared" si="2"/>
        <v>29.361216562853926</v>
      </c>
    </row>
    <row r="59" spans="1:14" x14ac:dyDescent="0.35">
      <c r="A59" s="5" t="s">
        <v>106</v>
      </c>
      <c r="B59" s="3" t="s">
        <v>37</v>
      </c>
      <c r="C59" s="3" t="s">
        <v>16</v>
      </c>
      <c r="D59" s="3" t="s">
        <v>62</v>
      </c>
      <c r="E59" s="3">
        <v>9499862542</v>
      </c>
      <c r="F59" s="3" t="s">
        <v>22</v>
      </c>
      <c r="G59" s="3" t="s">
        <v>78</v>
      </c>
      <c r="H59" s="3">
        <v>1893.55</v>
      </c>
      <c r="I59" s="3">
        <v>12</v>
      </c>
      <c r="J59" s="3">
        <v>3204.64</v>
      </c>
      <c r="K59" s="3" t="s">
        <v>24</v>
      </c>
      <c r="L59" s="3">
        <f t="shared" si="0"/>
        <v>22722.6</v>
      </c>
      <c r="M59" s="4" t="str">
        <f t="shared" si="1"/>
        <v>High</v>
      </c>
      <c r="N59" s="6">
        <f t="shared" si="2"/>
        <v>14.103315641695932</v>
      </c>
    </row>
    <row r="60" spans="1:14" x14ac:dyDescent="0.35">
      <c r="A60" s="5" t="s">
        <v>107</v>
      </c>
      <c r="B60" s="3" t="s">
        <v>50</v>
      </c>
      <c r="C60" s="3" t="s">
        <v>16</v>
      </c>
      <c r="D60" s="3" t="s">
        <v>45</v>
      </c>
      <c r="E60" s="3">
        <v>9724136290</v>
      </c>
      <c r="F60" s="3" t="s">
        <v>22</v>
      </c>
      <c r="G60" s="3" t="s">
        <v>41</v>
      </c>
      <c r="H60" s="3">
        <v>1747.22</v>
      </c>
      <c r="I60" s="3">
        <v>6</v>
      </c>
      <c r="J60" s="3">
        <v>2678.22</v>
      </c>
      <c r="K60" s="3" t="s">
        <v>31</v>
      </c>
      <c r="L60" s="3">
        <f t="shared" si="0"/>
        <v>10483.32</v>
      </c>
      <c r="M60" s="4" t="str">
        <f t="shared" si="1"/>
        <v>High</v>
      </c>
      <c r="N60" s="6">
        <f t="shared" si="2"/>
        <v>25.547441077826488</v>
      </c>
    </row>
    <row r="61" spans="1:14" x14ac:dyDescent="0.35">
      <c r="A61" s="5" t="s">
        <v>108</v>
      </c>
      <c r="B61" s="3" t="s">
        <v>37</v>
      </c>
      <c r="C61" s="3" t="s">
        <v>16</v>
      </c>
      <c r="D61" s="3" t="s">
        <v>45</v>
      </c>
      <c r="E61" s="3">
        <v>9321909198</v>
      </c>
      <c r="F61" s="3" t="s">
        <v>22</v>
      </c>
      <c r="G61" s="3" t="s">
        <v>54</v>
      </c>
      <c r="H61" s="3">
        <v>287.31</v>
      </c>
      <c r="I61" s="3">
        <v>8</v>
      </c>
      <c r="J61" s="3">
        <v>381.56</v>
      </c>
      <c r="K61" s="3" t="s">
        <v>60</v>
      </c>
      <c r="L61" s="3">
        <f t="shared" si="0"/>
        <v>2298.48</v>
      </c>
      <c r="M61" s="4" t="str">
        <f t="shared" si="1"/>
        <v>Low</v>
      </c>
      <c r="N61" s="6">
        <f t="shared" si="2"/>
        <v>16.600536006404234</v>
      </c>
    </row>
    <row r="62" spans="1:14" x14ac:dyDescent="0.35">
      <c r="A62" s="5" t="s">
        <v>109</v>
      </c>
      <c r="B62" s="3" t="s">
        <v>50</v>
      </c>
      <c r="C62" s="3" t="s">
        <v>16</v>
      </c>
      <c r="D62" s="3" t="s">
        <v>43</v>
      </c>
      <c r="E62" s="3">
        <v>9760693305</v>
      </c>
      <c r="F62" s="3" t="s">
        <v>18</v>
      </c>
      <c r="G62" s="3" t="s">
        <v>19</v>
      </c>
      <c r="H62" s="3">
        <v>1700.05</v>
      </c>
      <c r="I62" s="3">
        <v>2</v>
      </c>
      <c r="J62" s="3">
        <v>383.92</v>
      </c>
      <c r="K62" s="3" t="s">
        <v>39</v>
      </c>
      <c r="L62" s="3">
        <f t="shared" si="0"/>
        <v>3400.1</v>
      </c>
      <c r="M62" s="4" t="str">
        <f t="shared" si="1"/>
        <v>Low</v>
      </c>
      <c r="N62" s="6">
        <f t="shared" si="2"/>
        <v>11.291432604923385</v>
      </c>
    </row>
    <row r="63" spans="1:14" x14ac:dyDescent="0.35">
      <c r="A63" s="5" t="s">
        <v>110</v>
      </c>
      <c r="B63" s="3" t="s">
        <v>37</v>
      </c>
      <c r="C63" s="3" t="s">
        <v>16</v>
      </c>
      <c r="D63" s="3" t="s">
        <v>45</v>
      </c>
      <c r="E63" s="3">
        <v>9658575570</v>
      </c>
      <c r="F63" s="3" t="s">
        <v>22</v>
      </c>
      <c r="G63" s="3" t="s">
        <v>54</v>
      </c>
      <c r="H63" s="3">
        <v>1180.31</v>
      </c>
      <c r="I63" s="3">
        <v>7</v>
      </c>
      <c r="J63" s="3">
        <v>847.73</v>
      </c>
      <c r="K63" s="3" t="s">
        <v>39</v>
      </c>
      <c r="L63" s="3">
        <f t="shared" si="0"/>
        <v>8262.17</v>
      </c>
      <c r="M63" s="4" t="str">
        <f t="shared" si="1"/>
        <v>Medium</v>
      </c>
      <c r="N63" s="6">
        <f t="shared" si="2"/>
        <v>10.260379537094977</v>
      </c>
    </row>
    <row r="64" spans="1:14" x14ac:dyDescent="0.35">
      <c r="A64" s="5" t="s">
        <v>111</v>
      </c>
      <c r="B64" s="3" t="s">
        <v>26</v>
      </c>
      <c r="C64" s="3" t="s">
        <v>16</v>
      </c>
      <c r="D64" s="3" t="s">
        <v>45</v>
      </c>
      <c r="E64" s="3">
        <v>9950273824</v>
      </c>
      <c r="F64" s="3" t="s">
        <v>22</v>
      </c>
      <c r="G64" s="3" t="s">
        <v>78</v>
      </c>
      <c r="H64" s="3">
        <v>653.35</v>
      </c>
      <c r="I64" s="3">
        <v>4</v>
      </c>
      <c r="J64" s="3">
        <v>345.46</v>
      </c>
      <c r="K64" s="3" t="s">
        <v>20</v>
      </c>
      <c r="L64" s="3">
        <f t="shared" si="0"/>
        <v>2613.4</v>
      </c>
      <c r="M64" s="4" t="str">
        <f t="shared" si="1"/>
        <v>Low</v>
      </c>
      <c r="N64" s="6">
        <f t="shared" si="2"/>
        <v>13.218795438891865</v>
      </c>
    </row>
    <row r="65" spans="1:14" x14ac:dyDescent="0.35">
      <c r="A65" s="5" t="s">
        <v>112</v>
      </c>
      <c r="B65" s="3" t="s">
        <v>26</v>
      </c>
      <c r="C65" s="3" t="s">
        <v>16</v>
      </c>
      <c r="D65" s="3" t="s">
        <v>38</v>
      </c>
      <c r="E65" s="3">
        <v>9898816813</v>
      </c>
      <c r="F65" s="3" t="s">
        <v>51</v>
      </c>
      <c r="G65" s="3" t="s">
        <v>68</v>
      </c>
      <c r="H65" s="3">
        <v>1881.74</v>
      </c>
      <c r="I65" s="3">
        <v>4</v>
      </c>
      <c r="J65" s="3">
        <v>1363.83</v>
      </c>
      <c r="K65" s="3" t="s">
        <v>60</v>
      </c>
      <c r="L65" s="3">
        <f t="shared" si="0"/>
        <v>7526.96</v>
      </c>
      <c r="M65" s="4" t="str">
        <f t="shared" si="1"/>
        <v>Medium</v>
      </c>
      <c r="N65" s="6">
        <f t="shared" si="2"/>
        <v>18.119267273906065</v>
      </c>
    </row>
    <row r="66" spans="1:14" x14ac:dyDescent="0.35">
      <c r="A66" s="5" t="s">
        <v>113</v>
      </c>
      <c r="B66" s="3" t="s">
        <v>50</v>
      </c>
      <c r="C66" s="3" t="s">
        <v>16</v>
      </c>
      <c r="D66" s="3" t="s">
        <v>47</v>
      </c>
      <c r="E66" s="3">
        <v>9571594565</v>
      </c>
      <c r="F66" s="3" t="s">
        <v>22</v>
      </c>
      <c r="G66" s="3" t="s">
        <v>23</v>
      </c>
      <c r="H66" s="3">
        <v>1206.3499999999999</v>
      </c>
      <c r="I66" s="3">
        <v>15</v>
      </c>
      <c r="J66" s="3">
        <v>2801.82</v>
      </c>
      <c r="K66" s="3" t="s">
        <v>39</v>
      </c>
      <c r="L66" s="3">
        <f t="shared" si="0"/>
        <v>18095.25</v>
      </c>
      <c r="M66" s="4" t="str">
        <f t="shared" si="1"/>
        <v>High</v>
      </c>
      <c r="N66" s="6">
        <f t="shared" si="2"/>
        <v>15.483731918597424</v>
      </c>
    </row>
    <row r="67" spans="1:14" x14ac:dyDescent="0.35">
      <c r="A67" s="5" t="s">
        <v>114</v>
      </c>
      <c r="B67" s="3" t="s">
        <v>26</v>
      </c>
      <c r="C67" s="3" t="s">
        <v>16</v>
      </c>
      <c r="D67" s="3" t="s">
        <v>43</v>
      </c>
      <c r="E67" s="3">
        <v>9684352160</v>
      </c>
      <c r="F67" s="3" t="s">
        <v>18</v>
      </c>
      <c r="G67" s="3" t="s">
        <v>59</v>
      </c>
      <c r="H67" s="3">
        <v>1849.95</v>
      </c>
      <c r="I67" s="3">
        <v>5</v>
      </c>
      <c r="J67" s="3">
        <v>2111.02</v>
      </c>
      <c r="K67" s="3" t="s">
        <v>60</v>
      </c>
      <c r="L67" s="3">
        <f t="shared" ref="L67:L101" si="3">H67*I67</f>
        <v>9249.75</v>
      </c>
      <c r="M67" s="4" t="str">
        <f t="shared" ref="M67:M101" si="4">IF(L67&gt;10000,"High",IF(L67&lt;5000,"Low","Medium"))</f>
        <v>Medium</v>
      </c>
      <c r="N67" s="6">
        <f t="shared" ref="N67:N101" si="5">(J67/L67)*100</f>
        <v>22.822454660936781</v>
      </c>
    </row>
    <row r="68" spans="1:14" x14ac:dyDescent="0.35">
      <c r="A68" s="5" t="s">
        <v>115</v>
      </c>
      <c r="B68" s="3" t="s">
        <v>15</v>
      </c>
      <c r="C68" s="3" t="s">
        <v>16</v>
      </c>
      <c r="D68" s="3" t="s">
        <v>27</v>
      </c>
      <c r="E68" s="3">
        <v>9845713875</v>
      </c>
      <c r="F68" s="3" t="s">
        <v>51</v>
      </c>
      <c r="G68" s="3" t="s">
        <v>52</v>
      </c>
      <c r="H68" s="3">
        <v>1896.1</v>
      </c>
      <c r="I68" s="3">
        <v>5</v>
      </c>
      <c r="J68" s="3">
        <v>2676.46</v>
      </c>
      <c r="K68" s="3" t="s">
        <v>60</v>
      </c>
      <c r="L68" s="3">
        <f t="shared" si="3"/>
        <v>9480.5</v>
      </c>
      <c r="M68" s="4" t="str">
        <f t="shared" si="4"/>
        <v>Medium</v>
      </c>
      <c r="N68" s="6">
        <f t="shared" si="5"/>
        <v>28.231211433996094</v>
      </c>
    </row>
    <row r="69" spans="1:14" x14ac:dyDescent="0.35">
      <c r="A69" s="5" t="s">
        <v>116</v>
      </c>
      <c r="B69" s="3" t="s">
        <v>26</v>
      </c>
      <c r="C69" s="3" t="s">
        <v>16</v>
      </c>
      <c r="D69" s="3" t="s">
        <v>38</v>
      </c>
      <c r="E69" s="3">
        <v>85</v>
      </c>
      <c r="F69" s="3" t="s">
        <v>22</v>
      </c>
      <c r="G69" s="3" t="s">
        <v>54</v>
      </c>
      <c r="H69" s="3">
        <v>1799.6</v>
      </c>
      <c r="I69" s="3">
        <v>6</v>
      </c>
      <c r="J69" s="3">
        <v>1551.79</v>
      </c>
      <c r="K69" s="3" t="s">
        <v>31</v>
      </c>
      <c r="L69" s="3">
        <f t="shared" si="3"/>
        <v>10797.599999999999</v>
      </c>
      <c r="M69" s="4" t="str">
        <f t="shared" si="4"/>
        <v>High</v>
      </c>
      <c r="N69" s="6">
        <f t="shared" si="5"/>
        <v>14.371619619174632</v>
      </c>
    </row>
    <row r="70" spans="1:14" x14ac:dyDescent="0.35">
      <c r="A70" s="5" t="s">
        <v>117</v>
      </c>
      <c r="B70" s="3" t="s">
        <v>50</v>
      </c>
      <c r="C70" s="3" t="s">
        <v>16</v>
      </c>
      <c r="D70" s="3" t="s">
        <v>17</v>
      </c>
      <c r="E70" s="3">
        <v>9304184751</v>
      </c>
      <c r="F70" s="3" t="s">
        <v>22</v>
      </c>
      <c r="G70" s="3" t="s">
        <v>78</v>
      </c>
      <c r="H70" s="3">
        <v>1330.26</v>
      </c>
      <c r="I70" s="3">
        <v>2</v>
      </c>
      <c r="J70" s="3">
        <v>669.54</v>
      </c>
      <c r="K70" s="3" t="s">
        <v>20</v>
      </c>
      <c r="L70" s="3">
        <f t="shared" si="3"/>
        <v>2660.52</v>
      </c>
      <c r="M70" s="4" t="str">
        <f t="shared" si="4"/>
        <v>Low</v>
      </c>
      <c r="N70" s="6">
        <f t="shared" si="5"/>
        <v>25.165757070046457</v>
      </c>
    </row>
    <row r="71" spans="1:14" x14ac:dyDescent="0.35">
      <c r="A71" s="5" t="s">
        <v>118</v>
      </c>
      <c r="B71" s="3" t="s">
        <v>50</v>
      </c>
      <c r="C71" s="3" t="s">
        <v>16</v>
      </c>
      <c r="D71" s="3" t="s">
        <v>47</v>
      </c>
      <c r="E71" s="3">
        <v>9141039856</v>
      </c>
      <c r="F71" s="3" t="s">
        <v>51</v>
      </c>
      <c r="G71" s="3" t="s">
        <v>74</v>
      </c>
      <c r="H71" s="3">
        <v>322.57</v>
      </c>
      <c r="I71" s="3">
        <v>13</v>
      </c>
      <c r="J71" s="3">
        <v>684.45</v>
      </c>
      <c r="K71" s="3" t="s">
        <v>60</v>
      </c>
      <c r="L71" s="3">
        <f t="shared" si="3"/>
        <v>4193.41</v>
      </c>
      <c r="M71" s="4" t="str">
        <f t="shared" si="4"/>
        <v>Low</v>
      </c>
      <c r="N71" s="6">
        <f t="shared" si="5"/>
        <v>16.322038627274701</v>
      </c>
    </row>
    <row r="72" spans="1:14" x14ac:dyDescent="0.35">
      <c r="A72" s="5" t="s">
        <v>119</v>
      </c>
      <c r="B72" s="3" t="s">
        <v>37</v>
      </c>
      <c r="C72" s="3" t="s">
        <v>16</v>
      </c>
      <c r="D72" s="3" t="s">
        <v>38</v>
      </c>
      <c r="E72" s="3">
        <v>9640589740</v>
      </c>
      <c r="F72" s="3" t="s">
        <v>51</v>
      </c>
      <c r="G72" s="3" t="s">
        <v>52</v>
      </c>
      <c r="H72" s="3">
        <v>1510.41</v>
      </c>
      <c r="I72" s="3">
        <v>1</v>
      </c>
      <c r="J72" s="3">
        <v>434.79</v>
      </c>
      <c r="K72" s="3" t="s">
        <v>24</v>
      </c>
      <c r="L72" s="3">
        <f t="shared" si="3"/>
        <v>1510.41</v>
      </c>
      <c r="M72" s="4" t="str">
        <f t="shared" si="4"/>
        <v>Low</v>
      </c>
      <c r="N72" s="6">
        <f t="shared" si="5"/>
        <v>28.786223608159371</v>
      </c>
    </row>
    <row r="73" spans="1:14" x14ac:dyDescent="0.35">
      <c r="A73" s="5" t="s">
        <v>120</v>
      </c>
      <c r="B73" s="3" t="s">
        <v>26</v>
      </c>
      <c r="C73" s="3" t="s">
        <v>16</v>
      </c>
      <c r="D73" s="3" t="s">
        <v>17</v>
      </c>
      <c r="E73" s="3">
        <v>9406517796</v>
      </c>
      <c r="F73" s="3" t="s">
        <v>18</v>
      </c>
      <c r="G73" s="3" t="s">
        <v>35</v>
      </c>
      <c r="H73" s="3">
        <v>1085.52</v>
      </c>
      <c r="I73" s="3">
        <v>4</v>
      </c>
      <c r="J73" s="3">
        <v>749.57</v>
      </c>
      <c r="K73" s="3" t="s">
        <v>20</v>
      </c>
      <c r="L73" s="3">
        <f t="shared" si="3"/>
        <v>4342.08</v>
      </c>
      <c r="M73" s="4" t="str">
        <f t="shared" si="4"/>
        <v>Low</v>
      </c>
      <c r="N73" s="6">
        <f t="shared" si="5"/>
        <v>17.262924681258752</v>
      </c>
    </row>
    <row r="74" spans="1:14" x14ac:dyDescent="0.35">
      <c r="A74" s="5" t="s">
        <v>121</v>
      </c>
      <c r="B74" s="3" t="s">
        <v>26</v>
      </c>
      <c r="C74" s="3" t="s">
        <v>16</v>
      </c>
      <c r="D74" s="3" t="s">
        <v>43</v>
      </c>
      <c r="E74" s="3">
        <v>9606169051</v>
      </c>
      <c r="F74" s="3" t="s">
        <v>22</v>
      </c>
      <c r="G74" s="3" t="s">
        <v>23</v>
      </c>
      <c r="H74" s="3">
        <v>1441.79</v>
      </c>
      <c r="I74" s="3">
        <v>14</v>
      </c>
      <c r="J74" s="3">
        <v>3929.03</v>
      </c>
      <c r="K74" s="3" t="s">
        <v>60</v>
      </c>
      <c r="L74" s="3">
        <f t="shared" si="3"/>
        <v>20185.059999999998</v>
      </c>
      <c r="M74" s="4" t="str">
        <f t="shared" si="4"/>
        <v>High</v>
      </c>
      <c r="N74" s="6">
        <f t="shared" si="5"/>
        <v>19.465039985018624</v>
      </c>
    </row>
    <row r="75" spans="1:14" x14ac:dyDescent="0.35">
      <c r="A75" s="5" t="s">
        <v>122</v>
      </c>
      <c r="B75" s="3" t="s">
        <v>50</v>
      </c>
      <c r="C75" s="3" t="s">
        <v>16</v>
      </c>
      <c r="D75" s="3" t="s">
        <v>47</v>
      </c>
      <c r="E75" s="3">
        <v>9350461925</v>
      </c>
      <c r="F75" s="3" t="s">
        <v>22</v>
      </c>
      <c r="G75" s="3" t="s">
        <v>78</v>
      </c>
      <c r="H75" s="3">
        <v>686.64</v>
      </c>
      <c r="I75" s="3">
        <v>8</v>
      </c>
      <c r="J75" s="3">
        <v>878.07</v>
      </c>
      <c r="K75" s="3" t="s">
        <v>20</v>
      </c>
      <c r="L75" s="3">
        <f t="shared" si="3"/>
        <v>5493.12</v>
      </c>
      <c r="M75" s="4" t="str">
        <f t="shared" si="4"/>
        <v>Medium</v>
      </c>
      <c r="N75" s="6">
        <f t="shared" si="5"/>
        <v>15.984904753582665</v>
      </c>
    </row>
    <row r="76" spans="1:14" x14ac:dyDescent="0.35">
      <c r="A76" s="5" t="s">
        <v>123</v>
      </c>
      <c r="B76" s="3" t="s">
        <v>15</v>
      </c>
      <c r="C76" s="3" t="s">
        <v>16</v>
      </c>
      <c r="D76" s="3" t="s">
        <v>27</v>
      </c>
      <c r="E76" s="3">
        <v>9996467468</v>
      </c>
      <c r="F76" s="3" t="s">
        <v>18</v>
      </c>
      <c r="G76" s="3" t="s">
        <v>35</v>
      </c>
      <c r="H76" s="3">
        <v>2830.64</v>
      </c>
      <c r="I76" s="3">
        <v>6</v>
      </c>
      <c r="J76" s="3">
        <v>1830.75</v>
      </c>
      <c r="K76" s="3" t="s">
        <v>20</v>
      </c>
      <c r="L76" s="3">
        <f t="shared" si="3"/>
        <v>16983.84</v>
      </c>
      <c r="M76" s="4" t="str">
        <f t="shared" si="4"/>
        <v>High</v>
      </c>
      <c r="N76" s="6">
        <f t="shared" si="5"/>
        <v>10.779364384026227</v>
      </c>
    </row>
    <row r="77" spans="1:14" x14ac:dyDescent="0.35">
      <c r="A77" s="5" t="s">
        <v>124</v>
      </c>
      <c r="B77" s="3" t="s">
        <v>15</v>
      </c>
      <c r="C77" s="3" t="s">
        <v>16</v>
      </c>
      <c r="D77" s="3" t="s">
        <v>47</v>
      </c>
      <c r="E77" s="3">
        <v>9128345710</v>
      </c>
      <c r="F77" s="3" t="s">
        <v>51</v>
      </c>
      <c r="G77" s="3" t="s">
        <v>63</v>
      </c>
      <c r="H77" s="3">
        <v>2619.08</v>
      </c>
      <c r="I77" s="3">
        <v>6</v>
      </c>
      <c r="J77" s="3">
        <v>4245.2299999999996</v>
      </c>
      <c r="K77" s="3" t="s">
        <v>24</v>
      </c>
      <c r="L77" s="3">
        <f t="shared" si="3"/>
        <v>15714.48</v>
      </c>
      <c r="M77" s="4" t="str">
        <f t="shared" si="4"/>
        <v>High</v>
      </c>
      <c r="N77" s="6">
        <f t="shared" si="5"/>
        <v>27.014765999256735</v>
      </c>
    </row>
    <row r="78" spans="1:14" x14ac:dyDescent="0.35">
      <c r="A78" s="5" t="s">
        <v>125</v>
      </c>
      <c r="B78" s="3" t="s">
        <v>37</v>
      </c>
      <c r="C78" s="3" t="s">
        <v>16</v>
      </c>
      <c r="D78" s="3" t="s">
        <v>45</v>
      </c>
      <c r="E78" s="3">
        <v>9392055351</v>
      </c>
      <c r="F78" s="3" t="s">
        <v>18</v>
      </c>
      <c r="G78" s="3" t="s">
        <v>33</v>
      </c>
      <c r="H78" s="3">
        <v>503.93</v>
      </c>
      <c r="I78" s="3">
        <v>11</v>
      </c>
      <c r="J78" s="3">
        <v>1183.48</v>
      </c>
      <c r="K78" s="3" t="s">
        <v>31</v>
      </c>
      <c r="L78" s="3">
        <f t="shared" si="3"/>
        <v>5543.2300000000005</v>
      </c>
      <c r="M78" s="4" t="str">
        <f t="shared" si="4"/>
        <v>Medium</v>
      </c>
      <c r="N78" s="6">
        <f t="shared" si="5"/>
        <v>21.35000712580932</v>
      </c>
    </row>
    <row r="79" spans="1:14" x14ac:dyDescent="0.35">
      <c r="A79" s="5" t="s">
        <v>126</v>
      </c>
      <c r="B79" s="3" t="s">
        <v>26</v>
      </c>
      <c r="C79" s="3" t="s">
        <v>16</v>
      </c>
      <c r="D79" s="3" t="s">
        <v>38</v>
      </c>
      <c r="E79" s="3">
        <v>9980141994</v>
      </c>
      <c r="F79" s="3" t="s">
        <v>22</v>
      </c>
      <c r="G79" s="3" t="s">
        <v>54</v>
      </c>
      <c r="H79" s="3">
        <v>467.71</v>
      </c>
      <c r="I79" s="3">
        <v>12</v>
      </c>
      <c r="J79" s="3">
        <v>1223.23</v>
      </c>
      <c r="K79" s="3" t="s">
        <v>20</v>
      </c>
      <c r="L79" s="3">
        <f t="shared" si="3"/>
        <v>5612.5199999999995</v>
      </c>
      <c r="M79" s="4" t="str">
        <f t="shared" si="4"/>
        <v>Medium</v>
      </c>
      <c r="N79" s="6">
        <f t="shared" si="5"/>
        <v>21.794666210543571</v>
      </c>
    </row>
    <row r="80" spans="1:14" x14ac:dyDescent="0.35">
      <c r="A80" s="5" t="s">
        <v>127</v>
      </c>
      <c r="B80" s="3" t="s">
        <v>15</v>
      </c>
      <c r="C80" s="3" t="s">
        <v>16</v>
      </c>
      <c r="D80" s="3" t="s">
        <v>43</v>
      </c>
      <c r="E80" s="3">
        <v>9403999543</v>
      </c>
      <c r="F80" s="3" t="s">
        <v>22</v>
      </c>
      <c r="G80" s="3" t="s">
        <v>41</v>
      </c>
      <c r="H80" s="3">
        <v>2307.34</v>
      </c>
      <c r="I80" s="3">
        <v>14</v>
      </c>
      <c r="J80" s="3">
        <v>3571.15</v>
      </c>
      <c r="K80" s="3" t="s">
        <v>60</v>
      </c>
      <c r="L80" s="3">
        <f t="shared" si="3"/>
        <v>32302.760000000002</v>
      </c>
      <c r="M80" s="4" t="str">
        <f t="shared" si="4"/>
        <v>High</v>
      </c>
      <c r="N80" s="6">
        <f t="shared" si="5"/>
        <v>11.055247291562702</v>
      </c>
    </row>
    <row r="81" spans="1:14" x14ac:dyDescent="0.35">
      <c r="A81" s="5" t="s">
        <v>128</v>
      </c>
      <c r="B81" s="3" t="s">
        <v>50</v>
      </c>
      <c r="C81" s="3" t="s">
        <v>16</v>
      </c>
      <c r="D81" s="3" t="s">
        <v>62</v>
      </c>
      <c r="E81" s="3">
        <v>9164427200</v>
      </c>
      <c r="F81" s="3" t="s">
        <v>51</v>
      </c>
      <c r="G81" s="3" t="s">
        <v>52</v>
      </c>
      <c r="H81" s="3">
        <v>1513.57</v>
      </c>
      <c r="I81" s="3">
        <v>14</v>
      </c>
      <c r="J81" s="3">
        <v>5761.18</v>
      </c>
      <c r="K81" s="3" t="s">
        <v>20</v>
      </c>
      <c r="L81" s="3">
        <f t="shared" si="3"/>
        <v>21189.98</v>
      </c>
      <c r="M81" s="4" t="str">
        <f t="shared" si="4"/>
        <v>High</v>
      </c>
      <c r="N81" s="6">
        <f t="shared" si="5"/>
        <v>27.188227643442797</v>
      </c>
    </row>
    <row r="82" spans="1:14" x14ac:dyDescent="0.35">
      <c r="A82" s="5" t="s">
        <v>129</v>
      </c>
      <c r="B82" s="3" t="s">
        <v>50</v>
      </c>
      <c r="C82" s="3" t="s">
        <v>16</v>
      </c>
      <c r="D82" s="3" t="s">
        <v>43</v>
      </c>
      <c r="E82" s="3">
        <v>858947</v>
      </c>
      <c r="F82" s="3" t="s">
        <v>22</v>
      </c>
      <c r="G82" s="3" t="s">
        <v>78</v>
      </c>
      <c r="H82" s="3">
        <v>2213.4499999999998</v>
      </c>
      <c r="I82" s="3">
        <v>3</v>
      </c>
      <c r="J82" s="3">
        <v>867.33</v>
      </c>
      <c r="K82" s="3" t="s">
        <v>60</v>
      </c>
      <c r="L82" s="3">
        <f t="shared" si="3"/>
        <v>6640.3499999999995</v>
      </c>
      <c r="M82" s="4" t="str">
        <f t="shared" si="4"/>
        <v>Medium</v>
      </c>
      <c r="N82" s="6">
        <f t="shared" si="5"/>
        <v>13.06151031195645</v>
      </c>
    </row>
    <row r="83" spans="1:14" x14ac:dyDescent="0.35">
      <c r="A83" s="5" t="s">
        <v>130</v>
      </c>
      <c r="B83" s="3" t="s">
        <v>26</v>
      </c>
      <c r="C83" s="3" t="s">
        <v>16</v>
      </c>
      <c r="D83" s="3" t="s">
        <v>38</v>
      </c>
      <c r="E83" s="3">
        <v>9789825611</v>
      </c>
      <c r="F83" s="3" t="s">
        <v>18</v>
      </c>
      <c r="G83" s="3" t="s">
        <v>35</v>
      </c>
      <c r="H83" s="3">
        <v>384.21</v>
      </c>
      <c r="I83" s="3">
        <v>5</v>
      </c>
      <c r="J83" s="3">
        <v>354.16</v>
      </c>
      <c r="K83" s="3" t="s">
        <v>60</v>
      </c>
      <c r="L83" s="3">
        <f t="shared" si="3"/>
        <v>1921.05</v>
      </c>
      <c r="M83" s="4" t="str">
        <f t="shared" si="4"/>
        <v>Low</v>
      </c>
      <c r="N83" s="6">
        <f t="shared" si="5"/>
        <v>18.435751281851072</v>
      </c>
    </row>
    <row r="84" spans="1:14" x14ac:dyDescent="0.35">
      <c r="A84" s="5" t="s">
        <v>131</v>
      </c>
      <c r="B84" s="3" t="s">
        <v>37</v>
      </c>
      <c r="C84" s="3" t="s">
        <v>16</v>
      </c>
      <c r="D84" s="3" t="s">
        <v>43</v>
      </c>
      <c r="E84" s="3">
        <v>9371462183</v>
      </c>
      <c r="F84" s="3" t="s">
        <v>51</v>
      </c>
      <c r="G84" s="3" t="s">
        <v>63</v>
      </c>
      <c r="H84" s="3">
        <v>498.41</v>
      </c>
      <c r="I84" s="3">
        <v>7</v>
      </c>
      <c r="J84" s="3">
        <v>435.36</v>
      </c>
      <c r="K84" s="3" t="s">
        <v>39</v>
      </c>
      <c r="L84" s="3">
        <f t="shared" si="3"/>
        <v>3488.8700000000003</v>
      </c>
      <c r="M84" s="4" t="str">
        <f t="shared" si="4"/>
        <v>Low</v>
      </c>
      <c r="N84" s="6">
        <f t="shared" si="5"/>
        <v>12.478538896548166</v>
      </c>
    </row>
    <row r="85" spans="1:14" x14ac:dyDescent="0.35">
      <c r="A85" s="5" t="s">
        <v>132</v>
      </c>
      <c r="B85" s="3" t="s">
        <v>50</v>
      </c>
      <c r="C85" s="3" t="s">
        <v>16</v>
      </c>
      <c r="D85" s="3" t="s">
        <v>43</v>
      </c>
      <c r="E85" s="3">
        <v>9444893207</v>
      </c>
      <c r="F85" s="3" t="s">
        <v>18</v>
      </c>
      <c r="G85" s="3" t="s">
        <v>35</v>
      </c>
      <c r="H85" s="3">
        <v>1599.24</v>
      </c>
      <c r="I85" s="3">
        <v>10</v>
      </c>
      <c r="J85" s="3">
        <v>4368.75</v>
      </c>
      <c r="K85" s="3" t="s">
        <v>39</v>
      </c>
      <c r="L85" s="3">
        <f t="shared" si="3"/>
        <v>15992.4</v>
      </c>
      <c r="M85" s="4" t="str">
        <f t="shared" si="4"/>
        <v>High</v>
      </c>
      <c r="N85" s="6">
        <f t="shared" si="5"/>
        <v>27.317663390110305</v>
      </c>
    </row>
    <row r="86" spans="1:14" x14ac:dyDescent="0.35">
      <c r="A86" s="5" t="s">
        <v>133</v>
      </c>
      <c r="B86" s="3" t="s">
        <v>15</v>
      </c>
      <c r="C86" s="3" t="s">
        <v>16</v>
      </c>
      <c r="D86" s="3" t="s">
        <v>47</v>
      </c>
      <c r="E86" s="3">
        <v>9339358166</v>
      </c>
      <c r="F86" s="3" t="s">
        <v>22</v>
      </c>
      <c r="G86" s="3" t="s">
        <v>30</v>
      </c>
      <c r="H86" s="3">
        <v>962.07</v>
      </c>
      <c r="I86" s="3">
        <v>9</v>
      </c>
      <c r="J86" s="3">
        <v>905.89</v>
      </c>
      <c r="K86" s="3" t="s">
        <v>39</v>
      </c>
      <c r="L86" s="3">
        <f t="shared" si="3"/>
        <v>8658.630000000001</v>
      </c>
      <c r="M86" s="4" t="str">
        <f t="shared" si="4"/>
        <v>Medium</v>
      </c>
      <c r="N86" s="6">
        <f t="shared" si="5"/>
        <v>10.462278674570918</v>
      </c>
    </row>
    <row r="87" spans="1:14" x14ac:dyDescent="0.35">
      <c r="A87" s="5" t="s">
        <v>134</v>
      </c>
      <c r="B87" s="3" t="s">
        <v>15</v>
      </c>
      <c r="C87" s="3" t="s">
        <v>16</v>
      </c>
      <c r="D87" s="3" t="s">
        <v>27</v>
      </c>
      <c r="E87" s="3">
        <v>9119201960</v>
      </c>
      <c r="F87" s="3" t="s">
        <v>22</v>
      </c>
      <c r="G87" s="3" t="s">
        <v>54</v>
      </c>
      <c r="H87" s="3">
        <v>1673.22</v>
      </c>
      <c r="I87" s="3">
        <v>7</v>
      </c>
      <c r="J87" s="3">
        <v>1935.04</v>
      </c>
      <c r="K87" s="3" t="s">
        <v>60</v>
      </c>
      <c r="L87" s="3">
        <f t="shared" si="3"/>
        <v>11712.54</v>
      </c>
      <c r="M87" s="4" t="str">
        <f t="shared" si="4"/>
        <v>High</v>
      </c>
      <c r="N87" s="6">
        <f t="shared" si="5"/>
        <v>16.521096192627731</v>
      </c>
    </row>
    <row r="88" spans="1:14" x14ac:dyDescent="0.35">
      <c r="A88" s="5" t="s">
        <v>135</v>
      </c>
      <c r="B88" s="3" t="s">
        <v>15</v>
      </c>
      <c r="C88" s="3" t="s">
        <v>16</v>
      </c>
      <c r="D88" s="3" t="s">
        <v>38</v>
      </c>
      <c r="E88" s="3">
        <v>9161700373</v>
      </c>
      <c r="F88" s="3" t="s">
        <v>18</v>
      </c>
      <c r="G88" s="3" t="s">
        <v>28</v>
      </c>
      <c r="H88" s="3">
        <v>791.24</v>
      </c>
      <c r="I88" s="3">
        <v>4</v>
      </c>
      <c r="J88" s="3">
        <v>366.17</v>
      </c>
      <c r="K88" s="3" t="s">
        <v>39</v>
      </c>
      <c r="L88" s="3">
        <f t="shared" si="3"/>
        <v>3164.96</v>
      </c>
      <c r="M88" s="4" t="str">
        <f t="shared" si="4"/>
        <v>Low</v>
      </c>
      <c r="N88" s="6">
        <f t="shared" si="5"/>
        <v>11.569498508669936</v>
      </c>
    </row>
    <row r="89" spans="1:14" x14ac:dyDescent="0.35">
      <c r="A89" s="5" t="s">
        <v>136</v>
      </c>
      <c r="B89" s="3" t="s">
        <v>26</v>
      </c>
      <c r="C89" s="3" t="s">
        <v>16</v>
      </c>
      <c r="D89" s="3" t="s">
        <v>62</v>
      </c>
      <c r="E89" s="3">
        <v>9242580997</v>
      </c>
      <c r="F89" s="3" t="s">
        <v>18</v>
      </c>
      <c r="G89" s="3" t="s">
        <v>33</v>
      </c>
      <c r="H89" s="3">
        <v>1210.8599999999999</v>
      </c>
      <c r="I89" s="3">
        <v>3</v>
      </c>
      <c r="J89" s="3">
        <v>698.75</v>
      </c>
      <c r="K89" s="3" t="s">
        <v>39</v>
      </c>
      <c r="L89" s="3">
        <f t="shared" si="3"/>
        <v>3632.58</v>
      </c>
      <c r="M89" s="4" t="str">
        <f t="shared" si="4"/>
        <v>Low</v>
      </c>
      <c r="N89" s="6">
        <f t="shared" si="5"/>
        <v>19.235639683090255</v>
      </c>
    </row>
    <row r="90" spans="1:14" x14ac:dyDescent="0.35">
      <c r="A90" s="5" t="s">
        <v>137</v>
      </c>
      <c r="B90" s="3" t="s">
        <v>50</v>
      </c>
      <c r="C90" s="3" t="s">
        <v>16</v>
      </c>
      <c r="D90" s="3" t="s">
        <v>45</v>
      </c>
      <c r="E90" s="3">
        <v>9370714466</v>
      </c>
      <c r="F90" s="3" t="s">
        <v>18</v>
      </c>
      <c r="G90" s="3" t="s">
        <v>28</v>
      </c>
      <c r="H90" s="3">
        <v>619.57000000000005</v>
      </c>
      <c r="I90" s="3">
        <v>7</v>
      </c>
      <c r="J90" s="3">
        <v>562.75</v>
      </c>
      <c r="K90" s="3" t="s">
        <v>39</v>
      </c>
      <c r="L90" s="3">
        <f t="shared" si="3"/>
        <v>4336.9900000000007</v>
      </c>
      <c r="M90" s="4" t="str">
        <f t="shared" si="4"/>
        <v>Low</v>
      </c>
      <c r="N90" s="6">
        <f t="shared" si="5"/>
        <v>12.975589060615771</v>
      </c>
    </row>
    <row r="91" spans="1:14" x14ac:dyDescent="0.35">
      <c r="A91" s="5" t="s">
        <v>138</v>
      </c>
      <c r="B91" s="3" t="s">
        <v>15</v>
      </c>
      <c r="C91" s="3" t="s">
        <v>16</v>
      </c>
      <c r="D91" s="3" t="s">
        <v>43</v>
      </c>
      <c r="E91" s="3">
        <v>9427647839</v>
      </c>
      <c r="F91" s="3" t="s">
        <v>51</v>
      </c>
      <c r="G91" s="3" t="s">
        <v>57</v>
      </c>
      <c r="H91" s="3">
        <v>308.5</v>
      </c>
      <c r="I91" s="3">
        <v>15</v>
      </c>
      <c r="J91" s="3">
        <v>802.96</v>
      </c>
      <c r="K91" s="3" t="s">
        <v>20</v>
      </c>
      <c r="L91" s="3">
        <f t="shared" si="3"/>
        <v>4627.5</v>
      </c>
      <c r="M91" s="4" t="str">
        <f t="shared" si="4"/>
        <v>Low</v>
      </c>
      <c r="N91" s="6">
        <f t="shared" si="5"/>
        <v>17.351917882225827</v>
      </c>
    </row>
    <row r="92" spans="1:14" x14ac:dyDescent="0.35">
      <c r="A92" s="5" t="s">
        <v>139</v>
      </c>
      <c r="B92" s="3" t="s">
        <v>37</v>
      </c>
      <c r="C92" s="3" t="s">
        <v>16</v>
      </c>
      <c r="D92" s="3" t="s">
        <v>43</v>
      </c>
      <c r="E92" s="3">
        <v>9942075195</v>
      </c>
      <c r="F92" s="3" t="s">
        <v>18</v>
      </c>
      <c r="G92" s="3" t="s">
        <v>35</v>
      </c>
      <c r="H92" s="3">
        <v>1853.37</v>
      </c>
      <c r="I92" s="3">
        <v>5</v>
      </c>
      <c r="J92" s="3">
        <v>1661.2</v>
      </c>
      <c r="K92" s="3" t="s">
        <v>20</v>
      </c>
      <c r="L92" s="3">
        <f t="shared" si="3"/>
        <v>9266.8499999999985</v>
      </c>
      <c r="M92" s="4" t="str">
        <f t="shared" si="4"/>
        <v>Medium</v>
      </c>
      <c r="N92" s="6">
        <f t="shared" si="5"/>
        <v>17.92626404873285</v>
      </c>
    </row>
    <row r="93" spans="1:14" x14ac:dyDescent="0.35">
      <c r="A93" s="5" t="s">
        <v>140</v>
      </c>
      <c r="B93" s="3" t="s">
        <v>26</v>
      </c>
      <c r="C93" s="3" t="s">
        <v>16</v>
      </c>
      <c r="D93" s="3" t="s">
        <v>47</v>
      </c>
      <c r="E93" s="3">
        <v>9857569233</v>
      </c>
      <c r="F93" s="3" t="s">
        <v>18</v>
      </c>
      <c r="G93" s="3" t="s">
        <v>59</v>
      </c>
      <c r="H93" s="3">
        <v>2501.48</v>
      </c>
      <c r="I93" s="3">
        <v>6</v>
      </c>
      <c r="J93" s="3">
        <v>4142.5200000000004</v>
      </c>
      <c r="K93" s="3" t="s">
        <v>24</v>
      </c>
      <c r="L93" s="3">
        <f t="shared" si="3"/>
        <v>15008.880000000001</v>
      </c>
      <c r="M93" s="4" t="str">
        <f t="shared" si="4"/>
        <v>High</v>
      </c>
      <c r="N93" s="6">
        <f t="shared" si="5"/>
        <v>27.600460527367797</v>
      </c>
    </row>
    <row r="94" spans="1:14" x14ac:dyDescent="0.35">
      <c r="A94" s="5" t="s">
        <v>141</v>
      </c>
      <c r="B94" s="3" t="s">
        <v>26</v>
      </c>
      <c r="C94" s="3" t="s">
        <v>16</v>
      </c>
      <c r="D94" s="3" t="s">
        <v>17</v>
      </c>
      <c r="E94" s="3">
        <v>9944969047</v>
      </c>
      <c r="F94" s="3" t="s">
        <v>51</v>
      </c>
      <c r="G94" s="3" t="s">
        <v>68</v>
      </c>
      <c r="H94" s="3">
        <v>2596.13</v>
      </c>
      <c r="I94" s="3">
        <v>5</v>
      </c>
      <c r="J94" s="3">
        <v>1453.33</v>
      </c>
      <c r="K94" s="3" t="s">
        <v>24</v>
      </c>
      <c r="L94" s="3">
        <f t="shared" si="3"/>
        <v>12980.650000000001</v>
      </c>
      <c r="M94" s="4" t="str">
        <f t="shared" si="4"/>
        <v>High</v>
      </c>
      <c r="N94" s="6">
        <f t="shared" si="5"/>
        <v>11.196126542199348</v>
      </c>
    </row>
    <row r="95" spans="1:14" x14ac:dyDescent="0.35">
      <c r="A95" s="5" t="s">
        <v>142</v>
      </c>
      <c r="B95" s="3" t="s">
        <v>15</v>
      </c>
      <c r="C95" s="3" t="s">
        <v>16</v>
      </c>
      <c r="D95" s="3" t="s">
        <v>27</v>
      </c>
      <c r="E95" s="3">
        <v>56428436</v>
      </c>
      <c r="F95" s="3" t="s">
        <v>51</v>
      </c>
      <c r="G95" s="3" t="s">
        <v>63</v>
      </c>
      <c r="H95" s="3">
        <v>2209.52</v>
      </c>
      <c r="I95" s="3">
        <v>6</v>
      </c>
      <c r="J95" s="3">
        <v>3760.49</v>
      </c>
      <c r="K95" s="3" t="s">
        <v>24</v>
      </c>
      <c r="L95" s="3">
        <f t="shared" si="3"/>
        <v>13257.119999999999</v>
      </c>
      <c r="M95" s="4" t="str">
        <f t="shared" si="4"/>
        <v>High</v>
      </c>
      <c r="N95" s="6">
        <f t="shared" si="5"/>
        <v>28.365813992782744</v>
      </c>
    </row>
    <row r="96" spans="1:14" x14ac:dyDescent="0.35">
      <c r="A96" s="5" t="s">
        <v>143</v>
      </c>
      <c r="B96" s="3" t="s">
        <v>37</v>
      </c>
      <c r="C96" s="3" t="s">
        <v>16</v>
      </c>
      <c r="D96" s="3" t="s">
        <v>45</v>
      </c>
      <c r="E96" s="3">
        <v>9705241364</v>
      </c>
      <c r="F96" s="3" t="s">
        <v>22</v>
      </c>
      <c r="G96" s="3" t="s">
        <v>30</v>
      </c>
      <c r="H96" s="3">
        <v>458.7</v>
      </c>
      <c r="I96" s="3">
        <v>7</v>
      </c>
      <c r="J96" s="3">
        <v>839.97</v>
      </c>
      <c r="K96" s="3" t="s">
        <v>24</v>
      </c>
      <c r="L96" s="3">
        <f t="shared" si="3"/>
        <v>3210.9</v>
      </c>
      <c r="M96" s="4" t="str">
        <f t="shared" si="4"/>
        <v>Low</v>
      </c>
      <c r="N96" s="6">
        <f t="shared" si="5"/>
        <v>26.159955152760912</v>
      </c>
    </row>
    <row r="97" spans="1:14" x14ac:dyDescent="0.35">
      <c r="A97" s="5" t="s">
        <v>144</v>
      </c>
      <c r="B97" s="3" t="s">
        <v>37</v>
      </c>
      <c r="C97" s="3" t="s">
        <v>16</v>
      </c>
      <c r="D97" s="3" t="s">
        <v>17</v>
      </c>
      <c r="E97" s="3">
        <v>9245776255</v>
      </c>
      <c r="F97" s="3" t="s">
        <v>18</v>
      </c>
      <c r="G97" s="3" t="s">
        <v>33</v>
      </c>
      <c r="H97" s="3">
        <v>833.16</v>
      </c>
      <c r="I97" s="3">
        <v>12</v>
      </c>
      <c r="J97" s="3">
        <v>2135.63</v>
      </c>
      <c r="K97" s="3" t="s">
        <v>24</v>
      </c>
      <c r="L97" s="3">
        <f t="shared" si="3"/>
        <v>9997.92</v>
      </c>
      <c r="M97" s="4" t="str">
        <f t="shared" si="4"/>
        <v>Medium</v>
      </c>
      <c r="N97" s="6">
        <f t="shared" si="5"/>
        <v>21.360743034551188</v>
      </c>
    </row>
    <row r="98" spans="1:14" x14ac:dyDescent="0.35">
      <c r="A98" s="5" t="s">
        <v>145</v>
      </c>
      <c r="B98" s="3" t="s">
        <v>37</v>
      </c>
      <c r="C98" s="3" t="s">
        <v>16</v>
      </c>
      <c r="D98" s="3" t="s">
        <v>62</v>
      </c>
      <c r="E98" s="3">
        <v>9881212856</v>
      </c>
      <c r="F98" s="3" t="s">
        <v>18</v>
      </c>
      <c r="G98" s="3" t="s">
        <v>33</v>
      </c>
      <c r="H98" s="3">
        <v>238.37</v>
      </c>
      <c r="I98" s="3">
        <v>13</v>
      </c>
      <c r="J98" s="3">
        <v>586.94000000000005</v>
      </c>
      <c r="K98" s="3" t="s">
        <v>24</v>
      </c>
      <c r="L98" s="3">
        <f t="shared" si="3"/>
        <v>3098.81</v>
      </c>
      <c r="M98" s="4" t="str">
        <f t="shared" si="4"/>
        <v>Low</v>
      </c>
      <c r="N98" s="6">
        <f t="shared" si="5"/>
        <v>18.940819217699701</v>
      </c>
    </row>
    <row r="99" spans="1:14" x14ac:dyDescent="0.35">
      <c r="A99" s="5" t="s">
        <v>146</v>
      </c>
      <c r="B99" s="3" t="s">
        <v>15</v>
      </c>
      <c r="C99" s="3" t="s">
        <v>16</v>
      </c>
      <c r="D99" s="3" t="s">
        <v>45</v>
      </c>
      <c r="E99" s="3">
        <v>9916091858</v>
      </c>
      <c r="F99" s="3" t="s">
        <v>18</v>
      </c>
      <c r="G99" s="3" t="s">
        <v>35</v>
      </c>
      <c r="H99" s="3">
        <v>820.05</v>
      </c>
      <c r="I99" s="3">
        <v>3</v>
      </c>
      <c r="J99" s="3">
        <v>419.41</v>
      </c>
      <c r="K99" s="3" t="s">
        <v>39</v>
      </c>
      <c r="L99" s="3">
        <f t="shared" si="3"/>
        <v>2460.1499999999996</v>
      </c>
      <c r="M99" s="4" t="str">
        <f t="shared" si="4"/>
        <v>Low</v>
      </c>
      <c r="N99" s="6">
        <f t="shared" si="5"/>
        <v>17.048147470682686</v>
      </c>
    </row>
    <row r="100" spans="1:14" x14ac:dyDescent="0.35">
      <c r="A100" s="5" t="s">
        <v>147</v>
      </c>
      <c r="B100" s="3" t="s">
        <v>50</v>
      </c>
      <c r="C100" s="3" t="s">
        <v>16</v>
      </c>
      <c r="D100" s="3" t="s">
        <v>17</v>
      </c>
      <c r="E100" s="3">
        <v>9425191872</v>
      </c>
      <c r="F100" s="3" t="s">
        <v>51</v>
      </c>
      <c r="G100" s="3" t="s">
        <v>63</v>
      </c>
      <c r="H100" s="3">
        <v>2716.33</v>
      </c>
      <c r="I100" s="3">
        <v>8</v>
      </c>
      <c r="J100" s="3">
        <v>5513.14</v>
      </c>
      <c r="K100" s="3" t="s">
        <v>24</v>
      </c>
      <c r="L100" s="3">
        <f t="shared" si="3"/>
        <v>21730.639999999999</v>
      </c>
      <c r="M100" s="4" t="str">
        <f t="shared" si="4"/>
        <v>High</v>
      </c>
      <c r="N100" s="6">
        <f t="shared" si="5"/>
        <v>25.370352644929007</v>
      </c>
    </row>
    <row r="101" spans="1:14" x14ac:dyDescent="0.35">
      <c r="A101" s="10" t="s">
        <v>148</v>
      </c>
      <c r="B101" s="11" t="s">
        <v>50</v>
      </c>
      <c r="C101" s="11" t="s">
        <v>16</v>
      </c>
      <c r="D101" s="11" t="s">
        <v>62</v>
      </c>
      <c r="E101" s="11">
        <v>9459337548</v>
      </c>
      <c r="F101" s="11" t="s">
        <v>18</v>
      </c>
      <c r="G101" s="11" t="s">
        <v>59</v>
      </c>
      <c r="H101" s="11">
        <v>1918.81</v>
      </c>
      <c r="I101" s="11">
        <v>1</v>
      </c>
      <c r="J101" s="11">
        <v>442.75</v>
      </c>
      <c r="K101" s="11" t="s">
        <v>31</v>
      </c>
      <c r="L101" s="11">
        <f t="shared" si="3"/>
        <v>1918.81</v>
      </c>
      <c r="M101" s="12" t="str">
        <f t="shared" si="4"/>
        <v>Low</v>
      </c>
      <c r="N101" s="13">
        <f t="shared" si="5"/>
        <v>23.074197028366541</v>
      </c>
    </row>
    <row r="102" spans="1:14" x14ac:dyDescent="0.35">
      <c r="E102" s="14"/>
    </row>
    <row r="105" spans="1:14" x14ac:dyDescent="0.35">
      <c r="A105" s="15" t="s">
        <v>1</v>
      </c>
      <c r="B105" s="3" t="s">
        <v>149</v>
      </c>
      <c r="C105" s="3" t="s">
        <v>150</v>
      </c>
    </row>
    <row r="106" spans="1:14" x14ac:dyDescent="0.35">
      <c r="A106" s="3" t="s">
        <v>37</v>
      </c>
      <c r="B106" s="3">
        <v>304204.76999999996</v>
      </c>
      <c r="C106" s="3">
        <v>65576.37000000001</v>
      </c>
    </row>
    <row r="107" spans="1:14" x14ac:dyDescent="0.35">
      <c r="A107" s="3" t="s">
        <v>50</v>
      </c>
      <c r="B107" s="3">
        <v>290473.09000000003</v>
      </c>
      <c r="C107" s="3">
        <v>53496.26</v>
      </c>
    </row>
    <row r="108" spans="1:14" x14ac:dyDescent="0.35">
      <c r="A108" s="3" t="s">
        <v>26</v>
      </c>
      <c r="B108" s="3">
        <v>278867.12999999995</v>
      </c>
      <c r="C108" s="3">
        <v>52548.770000000004</v>
      </c>
    </row>
    <row r="109" spans="1:14" x14ac:dyDescent="0.35">
      <c r="A109" s="3" t="s">
        <v>15</v>
      </c>
      <c r="B109" s="3">
        <v>263623.37000000005</v>
      </c>
      <c r="C109" s="3">
        <v>53733.26999999999</v>
      </c>
    </row>
    <row r="110" spans="1:14" x14ac:dyDescent="0.35">
      <c r="A110" s="3" t="s">
        <v>151</v>
      </c>
      <c r="B110" s="3">
        <v>1137168.3600000001</v>
      </c>
      <c r="C110" s="3">
        <v>225354.67</v>
      </c>
    </row>
    <row r="111" spans="1:14" x14ac:dyDescent="0.35">
      <c r="A111" s="2"/>
      <c r="B111" s="2"/>
      <c r="C111" s="2"/>
    </row>
    <row r="112" spans="1:14" x14ac:dyDescent="0.35">
      <c r="A112" s="15" t="s">
        <v>5</v>
      </c>
      <c r="B112" s="16" t="s">
        <v>152</v>
      </c>
      <c r="C112" s="2"/>
    </row>
    <row r="113" spans="1:3" x14ac:dyDescent="0.35">
      <c r="A113" s="3" t="s">
        <v>18</v>
      </c>
      <c r="B113" s="17">
        <v>7.2249999999999996</v>
      </c>
      <c r="C113" s="2"/>
    </row>
    <row r="114" spans="1:3" x14ac:dyDescent="0.35">
      <c r="A114" s="3" t="s">
        <v>51</v>
      </c>
      <c r="B114" s="17">
        <v>8.115384615384615</v>
      </c>
      <c r="C114" s="2"/>
    </row>
    <row r="115" spans="1:3" x14ac:dyDescent="0.35">
      <c r="A115" s="3" t="s">
        <v>22</v>
      </c>
      <c r="B115" s="17">
        <v>7.7647058823529411</v>
      </c>
      <c r="C115" s="2"/>
    </row>
    <row r="116" spans="1:3" x14ac:dyDescent="0.35">
      <c r="A116" s="3" t="s">
        <v>151</v>
      </c>
      <c r="B116" s="17">
        <v>7.64</v>
      </c>
      <c r="C116" s="2"/>
    </row>
  </sheetData>
  <conditionalFormatting sqref="E2:E101">
    <cfRule type="expression" dxfId="18" priority="8">
      <formula>AND($E2&lt;&gt;"", LEN($E2)&lt;&gt;10)</formula>
    </cfRule>
  </conditionalFormatting>
  <conditionalFormatting sqref="J2:J101">
    <cfRule type="cellIs" dxfId="17" priority="9" operator="greaterThan">
      <formula>5000</formula>
    </cfRule>
  </conditionalFormatting>
  <conditionalFormatting sqref="J2:J1048576">
    <cfRule type="cellIs" dxfId="16" priority="4" operator="greaterThan">
      <formula>5000</formula>
    </cfRule>
  </conditionalFormatting>
  <conditionalFormatting sqref="E1:E1048576">
    <cfRule type="expression" dxfId="15" priority="3">
      <formula>"LEN(E2:F101)&lt;&gt;10"</formula>
    </cfRule>
  </conditionalFormatting>
  <conditionalFormatting sqref="M1:M1048576">
    <cfRule type="cellIs" dxfId="14" priority="1" operator="equal">
      <formula>"Low"</formula>
    </cfRule>
    <cfRule type="cellIs" dxfId="13" priority="2" operator="equal">
      <formula>"High"</formula>
    </cfRule>
  </conditionalFormatting>
  <dataValidations count="1">
    <dataValidation type="whole" allowBlank="1" showInputMessage="1" showErrorMessage="1" sqref="I1:I1048576" xr:uid="{12E7E36A-FA0C-4DAC-8771-9DF55CAD70B2}">
      <formula1>1</formula1>
      <formula2>20</formula2>
    </dataValidation>
  </dataValidation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Sales_department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Harshal kamble</dc:creator>
  <cp:keywords/>
  <dc:description/>
  <cp:lastModifiedBy>Harshal kamble</cp:lastModifiedBy>
  <cp:revision/>
  <dcterms:created xsi:type="dcterms:W3CDTF">2025-07-10T14:46:37Z</dcterms:created>
  <dcterms:modified xsi:type="dcterms:W3CDTF">2026-01-07T16:44:21Z</dcterms:modified>
  <cp:category/>
  <cp:contentStatus/>
</cp:coreProperties>
</file>